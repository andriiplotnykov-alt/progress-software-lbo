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otn\Downloads\"/>
    </mc:Choice>
  </mc:AlternateContent>
  <xr:revisionPtr revIDLastSave="0" documentId="13_ncr:1_{B1586CC2-D9DD-4C36-8079-7AD6DE7A5AFC}" xr6:coauthVersionLast="47" xr6:coauthVersionMax="47" xr10:uidLastSave="{00000000-0000-0000-0000-000000000000}"/>
  <bookViews>
    <workbookView xWindow="-110" yWindow="-110" windowWidth="19420" windowHeight="11500" xr2:uid="{D8550717-6BD9-4194-B860-8324B28180F6}"/>
  </bookViews>
  <sheets>
    <sheet name="LBO" sheetId="5" r:id="rId1"/>
    <sheet name="Debt Schedule" sheetId="7" r:id="rId2"/>
    <sheet name="IS" sheetId="1" r:id="rId3"/>
    <sheet name="BS" sheetId="3" r:id="rId4"/>
    <sheet name="CFS" sheetId="2" r:id="rId5"/>
    <sheet name="NWC" sheetId="6" r:id="rId6"/>
    <sheet name="Fixed asset schedule" sheetId="4" r:id="rId7"/>
  </sheets>
  <definedNames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1056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41447.9393518519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2" l="1"/>
  <c r="I19" i="2" s="1"/>
  <c r="J19" i="2" s="1"/>
  <c r="K19" i="2" s="1"/>
  <c r="C2" i="3"/>
  <c r="D2" i="3" s="1"/>
  <c r="E2" i="3" s="1"/>
  <c r="F2" i="3" s="1"/>
  <c r="G2" i="3" s="1"/>
  <c r="H2" i="3" s="1"/>
  <c r="I2" i="3" s="1"/>
  <c r="J2" i="3" s="1"/>
  <c r="C30" i="3"/>
  <c r="D30" i="3"/>
  <c r="E30" i="3"/>
  <c r="B30" i="3"/>
  <c r="G32" i="3"/>
  <c r="H32" i="3"/>
  <c r="I32" i="3"/>
  <c r="J32" i="3"/>
  <c r="F32" i="3"/>
  <c r="F37" i="3"/>
  <c r="G37" i="3" s="1"/>
  <c r="H37" i="3" s="1"/>
  <c r="I37" i="3" s="1"/>
  <c r="J37" i="3" s="1"/>
  <c r="E43" i="3"/>
  <c r="D43" i="3"/>
  <c r="C43" i="3"/>
  <c r="B43" i="3"/>
  <c r="F39" i="3"/>
  <c r="G39" i="3" s="1"/>
  <c r="H39" i="3" s="1"/>
  <c r="I39" i="3" s="1"/>
  <c r="J39" i="3" s="1"/>
  <c r="F36" i="3"/>
  <c r="G36" i="3" s="1"/>
  <c r="H36" i="3" s="1"/>
  <c r="E33" i="3"/>
  <c r="E34" i="3" s="1"/>
  <c r="D33" i="3"/>
  <c r="D34" i="3" s="1"/>
  <c r="C33" i="3"/>
  <c r="C34" i="3" s="1"/>
  <c r="B33" i="3"/>
  <c r="B34" i="3" s="1"/>
  <c r="G31" i="3"/>
  <c r="H31" i="3" s="1"/>
  <c r="I31" i="3" s="1"/>
  <c r="J31" i="3" s="1"/>
  <c r="F28" i="3"/>
  <c r="G28" i="3" s="1"/>
  <c r="H28" i="3" s="1"/>
  <c r="I28" i="3" s="1"/>
  <c r="J28" i="3" s="1"/>
  <c r="F27" i="3"/>
  <c r="G27" i="3" s="1"/>
  <c r="H27" i="3" s="1"/>
  <c r="I27" i="3" s="1"/>
  <c r="J27" i="3" s="1"/>
  <c r="F22" i="3"/>
  <c r="G22" i="3" s="1"/>
  <c r="H22" i="3" s="1"/>
  <c r="I22" i="3" s="1"/>
  <c r="J22" i="3" s="1"/>
  <c r="G21" i="3"/>
  <c r="H21" i="3" s="1"/>
  <c r="I21" i="3" s="1"/>
  <c r="J21" i="3" s="1"/>
  <c r="J14" i="3"/>
  <c r="F13" i="3"/>
  <c r="G13" i="3" s="1"/>
  <c r="H13" i="3" s="1"/>
  <c r="I13" i="3" s="1"/>
  <c r="J13" i="3" s="1"/>
  <c r="F12" i="3"/>
  <c r="G12" i="3" s="1"/>
  <c r="H12" i="3" s="1"/>
  <c r="I12" i="3" s="1"/>
  <c r="J12" i="3" s="1"/>
  <c r="F9" i="3"/>
  <c r="B14" i="6"/>
  <c r="B5" i="6"/>
  <c r="C5" i="6"/>
  <c r="D5" i="6"/>
  <c r="E5" i="6"/>
  <c r="G2" i="2"/>
  <c r="H2" i="2" s="1"/>
  <c r="I2" i="2" s="1"/>
  <c r="J2" i="2" s="1"/>
  <c r="K2" i="2" s="1"/>
  <c r="C28" i="5"/>
  <c r="D27" i="5"/>
  <c r="C30" i="5"/>
  <c r="C28" i="1"/>
  <c r="D28" i="1"/>
  <c r="E28" i="1"/>
  <c r="F28" i="1"/>
  <c r="B28" i="1"/>
  <c r="E2" i="4"/>
  <c r="F2" i="4"/>
  <c r="H2" i="4"/>
  <c r="I2" i="4"/>
  <c r="J2" i="4" s="1"/>
  <c r="K2" i="4" s="1"/>
  <c r="L2" i="4" s="1"/>
  <c r="C6" i="4"/>
  <c r="C18" i="4"/>
  <c r="D20" i="5"/>
  <c r="D19" i="5"/>
  <c r="D18" i="5"/>
  <c r="I12" i="5"/>
  <c r="I10" i="5"/>
  <c r="I8" i="5"/>
  <c r="D26" i="5"/>
  <c r="E26" i="5" s="1"/>
  <c r="F26" i="5" s="1"/>
  <c r="G26" i="5" s="1"/>
  <c r="H26" i="5" s="1"/>
  <c r="G30" i="3" l="1"/>
  <c r="G29" i="3" s="1"/>
  <c r="F30" i="3"/>
  <c r="F29" i="3" s="1"/>
  <c r="J30" i="3"/>
  <c r="J29" i="3" s="1"/>
  <c r="I30" i="3"/>
  <c r="I29" i="3" s="1"/>
  <c r="H30" i="3"/>
  <c r="H29" i="3" s="1"/>
  <c r="I36" i="3"/>
  <c r="G9" i="3"/>
  <c r="H9" i="3" l="1"/>
  <c r="J36" i="3"/>
  <c r="B19" i="7"/>
  <c r="D2" i="7"/>
  <c r="E2" i="7" s="1"/>
  <c r="F2" i="7" s="1"/>
  <c r="G2" i="7" s="1"/>
  <c r="F18" i="4"/>
  <c r="G15" i="4" s="1"/>
  <c r="E18" i="4"/>
  <c r="D18" i="4"/>
  <c r="D15" i="4"/>
  <c r="G17" i="4"/>
  <c r="F17" i="4"/>
  <c r="E17" i="4"/>
  <c r="D17" i="4"/>
  <c r="F6" i="4"/>
  <c r="G3" i="4" s="1"/>
  <c r="E6" i="4"/>
  <c r="F3" i="4" s="1"/>
  <c r="D6" i="4"/>
  <c r="E3" i="4" s="1"/>
  <c r="D3" i="4"/>
  <c r="G5" i="4"/>
  <c r="F5" i="4"/>
  <c r="E5" i="4"/>
  <c r="D5" i="4"/>
  <c r="G4" i="4"/>
  <c r="G10" i="4" s="1"/>
  <c r="F4" i="4"/>
  <c r="F9" i="4" s="1"/>
  <c r="E4" i="4"/>
  <c r="E9" i="4" s="1"/>
  <c r="D4" i="4"/>
  <c r="D9" i="4" s="1"/>
  <c r="H37" i="1"/>
  <c r="I37" i="1"/>
  <c r="J37" i="1"/>
  <c r="K37" i="1"/>
  <c r="C30" i="6"/>
  <c r="D30" i="6"/>
  <c r="E30" i="6"/>
  <c r="E31" i="6" s="1"/>
  <c r="B30" i="6"/>
  <c r="B31" i="6" s="1"/>
  <c r="G24" i="2"/>
  <c r="H24" i="2" s="1"/>
  <c r="I24" i="2" s="1"/>
  <c r="J24" i="2" s="1"/>
  <c r="K24" i="2" s="1"/>
  <c r="G19" i="2"/>
  <c r="G13" i="2"/>
  <c r="H13" i="2" s="1"/>
  <c r="I13" i="2" s="1"/>
  <c r="J13" i="2" s="1"/>
  <c r="K13" i="2" s="1"/>
  <c r="D2" i="6"/>
  <c r="E2" i="6" s="1"/>
  <c r="F2" i="6" s="1"/>
  <c r="G2" i="6" s="1"/>
  <c r="H2" i="6" s="1"/>
  <c r="I2" i="6" s="1"/>
  <c r="J2" i="6" s="1"/>
  <c r="C2" i="6"/>
  <c r="B23" i="6"/>
  <c r="C14" i="6"/>
  <c r="C15" i="6" s="1"/>
  <c r="D14" i="6"/>
  <c r="D15" i="6" s="1"/>
  <c r="E14" i="6"/>
  <c r="E15" i="6" s="1"/>
  <c r="B15" i="6"/>
  <c r="C21" i="5"/>
  <c r="B3" i="6"/>
  <c r="C3" i="6"/>
  <c r="C22" i="6" s="1"/>
  <c r="D3" i="6"/>
  <c r="D22" i="6" s="1"/>
  <c r="E3" i="6"/>
  <c r="E22" i="6" s="1"/>
  <c r="C23" i="6"/>
  <c r="D23" i="6"/>
  <c r="E23" i="6"/>
  <c r="B7" i="6"/>
  <c r="C7" i="6"/>
  <c r="D7" i="6"/>
  <c r="E7" i="6"/>
  <c r="H8" i="6" s="1"/>
  <c r="B12" i="6"/>
  <c r="B13" i="6" s="1"/>
  <c r="C12" i="6"/>
  <c r="C13" i="6" s="1"/>
  <c r="D12" i="6"/>
  <c r="D13" i="6" s="1"/>
  <c r="E12" i="6"/>
  <c r="E13" i="6" s="1"/>
  <c r="B16" i="6"/>
  <c r="B17" i="6" s="1"/>
  <c r="C16" i="6"/>
  <c r="C17" i="6" s="1"/>
  <c r="D16" i="6"/>
  <c r="D17" i="6" s="1"/>
  <c r="E16" i="6"/>
  <c r="E17" i="6" s="1"/>
  <c r="A12" i="6"/>
  <c r="A7" i="6"/>
  <c r="A5" i="6"/>
  <c r="A3" i="6"/>
  <c r="E27" i="5"/>
  <c r="F27" i="5" s="1"/>
  <c r="G27" i="5" s="1"/>
  <c r="H27" i="5" s="1"/>
  <c r="C5" i="5"/>
  <c r="G37" i="2"/>
  <c r="G28" i="2"/>
  <c r="H28" i="2" s="1"/>
  <c r="I28" i="2" s="1"/>
  <c r="J28" i="2" s="1"/>
  <c r="K28" i="2" s="1"/>
  <c r="C26" i="1"/>
  <c r="D26" i="1"/>
  <c r="E26" i="1"/>
  <c r="F26" i="1"/>
  <c r="B26" i="1"/>
  <c r="C24" i="1"/>
  <c r="D24" i="1"/>
  <c r="E24" i="1"/>
  <c r="F24" i="1"/>
  <c r="C22" i="1"/>
  <c r="D22" i="1"/>
  <c r="E22" i="1"/>
  <c r="F22" i="1"/>
  <c r="B24" i="1"/>
  <c r="B22" i="1"/>
  <c r="G37" i="1"/>
  <c r="C15" i="1"/>
  <c r="D15" i="1"/>
  <c r="E15" i="1"/>
  <c r="F15" i="1"/>
  <c r="C13" i="1"/>
  <c r="D13" i="1"/>
  <c r="E13" i="1"/>
  <c r="F13" i="1"/>
  <c r="C11" i="1"/>
  <c r="D11" i="1"/>
  <c r="E11" i="1"/>
  <c r="F11" i="1"/>
  <c r="B15" i="1"/>
  <c r="B13" i="1"/>
  <c r="B11" i="1"/>
  <c r="D9" i="1"/>
  <c r="E9" i="1"/>
  <c r="F9" i="1"/>
  <c r="C9" i="1"/>
  <c r="D7" i="1"/>
  <c r="E7" i="1"/>
  <c r="F7" i="1"/>
  <c r="C7" i="1"/>
  <c r="G2" i="1"/>
  <c r="D4" i="1"/>
  <c r="E4" i="1"/>
  <c r="F4" i="1"/>
  <c r="C4" i="1"/>
  <c r="I9" i="3" l="1"/>
  <c r="B22" i="6"/>
  <c r="H22" i="6" s="1"/>
  <c r="B9" i="6"/>
  <c r="H2" i="1"/>
  <c r="I2" i="1" s="1"/>
  <c r="J2" i="1" s="1"/>
  <c r="K2" i="1" s="1"/>
  <c r="D22" i="4"/>
  <c r="E10" i="4"/>
  <c r="F10" i="4"/>
  <c r="G9" i="4"/>
  <c r="F8" i="6"/>
  <c r="E32" i="6"/>
  <c r="F16" i="2" s="1"/>
  <c r="D32" i="6"/>
  <c r="E16" i="2" s="1"/>
  <c r="B24" i="6"/>
  <c r="C31" i="6"/>
  <c r="I8" i="6"/>
  <c r="G8" i="6"/>
  <c r="J8" i="6"/>
  <c r="C32" i="6"/>
  <c r="D16" i="2" s="1"/>
  <c r="D31" i="6"/>
  <c r="D16" i="4"/>
  <c r="D20" i="4" s="1"/>
  <c r="G6" i="4"/>
  <c r="H3" i="4" s="1"/>
  <c r="E15" i="4"/>
  <c r="E22" i="4" s="1"/>
  <c r="F15" i="4"/>
  <c r="F16" i="4" s="1"/>
  <c r="D10" i="4"/>
  <c r="K22" i="1"/>
  <c r="H24" i="1"/>
  <c r="L9" i="4"/>
  <c r="K9" i="4"/>
  <c r="J9" i="4"/>
  <c r="I9" i="4"/>
  <c r="H9" i="4"/>
  <c r="E11" i="4"/>
  <c r="F11" i="4"/>
  <c r="G22" i="4"/>
  <c r="D11" i="4"/>
  <c r="D24" i="6"/>
  <c r="E24" i="6"/>
  <c r="C24" i="6"/>
  <c r="E19" i="6"/>
  <c r="D19" i="6"/>
  <c r="C19" i="6"/>
  <c r="B19" i="6"/>
  <c r="D9" i="6"/>
  <c r="C9" i="6"/>
  <c r="E9" i="6"/>
  <c r="G13" i="6"/>
  <c r="I17" i="6"/>
  <c r="J17" i="6"/>
  <c r="F17" i="6"/>
  <c r="F16" i="6" s="1"/>
  <c r="F20" i="3" s="1"/>
  <c r="G17" i="6"/>
  <c r="H17" i="6"/>
  <c r="F13" i="6"/>
  <c r="J13" i="6"/>
  <c r="I13" i="6"/>
  <c r="H13" i="6"/>
  <c r="I24" i="1"/>
  <c r="H22" i="1"/>
  <c r="G22" i="1"/>
  <c r="J22" i="1"/>
  <c r="I22" i="1"/>
  <c r="G24" i="1"/>
  <c r="K24" i="1"/>
  <c r="J24" i="1"/>
  <c r="H13" i="1"/>
  <c r="H11" i="1"/>
  <c r="I13" i="1"/>
  <c r="G11" i="1"/>
  <c r="K11" i="1"/>
  <c r="J11" i="1"/>
  <c r="I11" i="1"/>
  <c r="G13" i="1"/>
  <c r="K13" i="1"/>
  <c r="J13" i="1"/>
  <c r="F5" i="1"/>
  <c r="H7" i="1"/>
  <c r="I7" i="1"/>
  <c r="D5" i="1"/>
  <c r="G7" i="1"/>
  <c r="G6" i="1" s="1"/>
  <c r="K7" i="1"/>
  <c r="J7" i="1"/>
  <c r="E5" i="1"/>
  <c r="F22" i="6" l="1"/>
  <c r="J22" i="6"/>
  <c r="J9" i="3"/>
  <c r="G22" i="6"/>
  <c r="I22" i="6"/>
  <c r="G31" i="6"/>
  <c r="F31" i="6"/>
  <c r="H31" i="6"/>
  <c r="I31" i="6"/>
  <c r="J31" i="6"/>
  <c r="F22" i="4"/>
  <c r="B26" i="6"/>
  <c r="C26" i="6"/>
  <c r="D21" i="4"/>
  <c r="D26" i="6"/>
  <c r="E26" i="6"/>
  <c r="F20" i="4"/>
  <c r="F21" i="4"/>
  <c r="E16" i="4"/>
  <c r="H24" i="6"/>
  <c r="G24" i="6"/>
  <c r="I24" i="6"/>
  <c r="J24" i="6"/>
  <c r="F24" i="6"/>
  <c r="F12" i="6" s="1"/>
  <c r="F19" i="3" s="1"/>
  <c r="H11" i="4"/>
  <c r="H5" i="4" s="1"/>
  <c r="L11" i="4"/>
  <c r="J11" i="4"/>
  <c r="I11" i="4"/>
  <c r="G11" i="4"/>
  <c r="K11" i="4"/>
  <c r="G5" i="1"/>
  <c r="G4" i="1" s="1"/>
  <c r="G3" i="1" s="1"/>
  <c r="G8" i="1" s="1"/>
  <c r="H6" i="1"/>
  <c r="I6" i="1" s="1"/>
  <c r="J6" i="1" s="1"/>
  <c r="K6" i="1" s="1"/>
  <c r="F5" i="6" l="1"/>
  <c r="F6" i="3" s="1"/>
  <c r="G27" i="1"/>
  <c r="D27" i="6"/>
  <c r="C27" i="6"/>
  <c r="E27" i="6"/>
  <c r="D37" i="5" s="1"/>
  <c r="E20" i="4"/>
  <c r="E21" i="4"/>
  <c r="F30" i="6"/>
  <c r="F15" i="3" s="1"/>
  <c r="F14" i="6"/>
  <c r="F23" i="3" s="1"/>
  <c r="F3" i="6"/>
  <c r="F5" i="3" s="1"/>
  <c r="G14" i="2"/>
  <c r="I10" i="4"/>
  <c r="K10" i="4"/>
  <c r="J10" i="4"/>
  <c r="H10" i="4"/>
  <c r="H4" i="4" s="1"/>
  <c r="H6" i="4" s="1"/>
  <c r="F10" i="3" s="1"/>
  <c r="L10" i="4"/>
  <c r="D28" i="5"/>
  <c r="G23" i="1"/>
  <c r="F7" i="6"/>
  <c r="F7" i="3" s="1"/>
  <c r="G21" i="1"/>
  <c r="G16" i="6" s="1"/>
  <c r="G20" i="3" s="1"/>
  <c r="H4" i="1"/>
  <c r="I4" i="1" s="1"/>
  <c r="J4" i="1" s="1"/>
  <c r="K4" i="1" s="1"/>
  <c r="G9" i="1"/>
  <c r="C6" i="5" s="1"/>
  <c r="G12" i="1"/>
  <c r="G10" i="1"/>
  <c r="G14" i="1"/>
  <c r="I3" i="4" l="1"/>
  <c r="I5" i="4" s="1"/>
  <c r="I4" i="4" s="1"/>
  <c r="G7" i="2"/>
  <c r="C9" i="5"/>
  <c r="H16" i="4"/>
  <c r="G11" i="2"/>
  <c r="F19" i="6"/>
  <c r="G15" i="2"/>
  <c r="F32" i="6"/>
  <c r="G16" i="2" s="1"/>
  <c r="F9" i="6"/>
  <c r="G12" i="2"/>
  <c r="G5" i="2"/>
  <c r="G20" i="2"/>
  <c r="G22" i="2" s="1"/>
  <c r="H3" i="1"/>
  <c r="I3" i="1" s="1"/>
  <c r="G16" i="1"/>
  <c r="I6" i="4" l="1"/>
  <c r="G10" i="3" s="1"/>
  <c r="G17" i="2"/>
  <c r="F26" i="6"/>
  <c r="F27" i="6" s="1"/>
  <c r="E37" i="5" s="1"/>
  <c r="G18" i="1"/>
  <c r="G12" i="6"/>
  <c r="G19" i="3" s="1"/>
  <c r="H8" i="1"/>
  <c r="J3" i="1"/>
  <c r="I8" i="1"/>
  <c r="J3" i="4" l="1"/>
  <c r="J5" i="4" s="1"/>
  <c r="J4" i="4" s="1"/>
  <c r="J6" i="4" s="1"/>
  <c r="H10" i="3" s="1"/>
  <c r="I27" i="1"/>
  <c r="H5" i="6"/>
  <c r="H6" i="3" s="1"/>
  <c r="J16" i="4"/>
  <c r="H27" i="1"/>
  <c r="G5" i="6"/>
  <c r="G6" i="3" s="1"/>
  <c r="I16" i="4"/>
  <c r="H3" i="6"/>
  <c r="H5" i="3" s="1"/>
  <c r="H14" i="6"/>
  <c r="H23" i="3" s="1"/>
  <c r="H30" i="6"/>
  <c r="H15" i="3" s="1"/>
  <c r="G3" i="6"/>
  <c r="G5" i="3" s="1"/>
  <c r="G14" i="6"/>
  <c r="G30" i="6"/>
  <c r="G15" i="3" s="1"/>
  <c r="H14" i="2"/>
  <c r="I23" i="1"/>
  <c r="F28" i="5"/>
  <c r="H7" i="6"/>
  <c r="H7" i="3" s="1"/>
  <c r="I21" i="1"/>
  <c r="I16" i="6" s="1"/>
  <c r="I20" i="3" s="1"/>
  <c r="H10" i="1"/>
  <c r="H23" i="1"/>
  <c r="G7" i="6"/>
  <c r="G7" i="3" s="1"/>
  <c r="E28" i="5"/>
  <c r="H21" i="1"/>
  <c r="H16" i="6" s="1"/>
  <c r="H20" i="3" s="1"/>
  <c r="H14" i="1"/>
  <c r="H7" i="2" s="1"/>
  <c r="H12" i="1"/>
  <c r="H9" i="1"/>
  <c r="I9" i="1"/>
  <c r="I10" i="1"/>
  <c r="I14" i="1"/>
  <c r="I7" i="2" s="1"/>
  <c r="I12" i="1"/>
  <c r="K3" i="1"/>
  <c r="K8" i="1" s="1"/>
  <c r="J8" i="1"/>
  <c r="G19" i="6" l="1"/>
  <c r="G23" i="3"/>
  <c r="K3" i="4"/>
  <c r="K5" i="4" s="1"/>
  <c r="K4" i="4" s="1"/>
  <c r="K6" i="4" s="1"/>
  <c r="I10" i="3" s="1"/>
  <c r="L3" i="4"/>
  <c r="L5" i="4" s="1"/>
  <c r="L4" i="4" s="1"/>
  <c r="J27" i="1"/>
  <c r="I5" i="6"/>
  <c r="I6" i="3" s="1"/>
  <c r="K16" i="4"/>
  <c r="K27" i="1"/>
  <c r="J5" i="6"/>
  <c r="J6" i="3" s="1"/>
  <c r="L16" i="4"/>
  <c r="H9" i="6"/>
  <c r="I30" i="6"/>
  <c r="I15" i="3" s="1"/>
  <c r="I3" i="6"/>
  <c r="I5" i="3" s="1"/>
  <c r="I14" i="6"/>
  <c r="I23" i="3" s="1"/>
  <c r="H32" i="6"/>
  <c r="I16" i="2" s="1"/>
  <c r="G32" i="6"/>
  <c r="H16" i="2" s="1"/>
  <c r="J30" i="6"/>
  <c r="J15" i="3" s="1"/>
  <c r="J3" i="6"/>
  <c r="J5" i="3" s="1"/>
  <c r="J14" i="6"/>
  <c r="J23" i="3" s="1"/>
  <c r="H11" i="2"/>
  <c r="I15" i="2"/>
  <c r="H15" i="2"/>
  <c r="I11" i="2"/>
  <c r="I12" i="2"/>
  <c r="H12" i="2"/>
  <c r="G9" i="6"/>
  <c r="G26" i="6" s="1"/>
  <c r="G27" i="6" s="1"/>
  <c r="F37" i="5" s="1"/>
  <c r="H5" i="2"/>
  <c r="J23" i="1"/>
  <c r="I7" i="6"/>
  <c r="I7" i="3" s="1"/>
  <c r="G28" i="5"/>
  <c r="J21" i="1"/>
  <c r="J16" i="6" s="1"/>
  <c r="J20" i="3" s="1"/>
  <c r="H28" i="5"/>
  <c r="K23" i="1"/>
  <c r="K21" i="1"/>
  <c r="J7" i="6"/>
  <c r="J7" i="3" s="1"/>
  <c r="H16" i="1"/>
  <c r="K12" i="1"/>
  <c r="K10" i="1"/>
  <c r="K14" i="1"/>
  <c r="K7" i="2" s="1"/>
  <c r="J9" i="1"/>
  <c r="J10" i="1"/>
  <c r="J14" i="1"/>
  <c r="J12" i="1"/>
  <c r="I16" i="1"/>
  <c r="K9" i="1"/>
  <c r="I32" i="6" l="1"/>
  <c r="J16" i="2" s="1"/>
  <c r="J11" i="2"/>
  <c r="L6" i="4"/>
  <c r="J10" i="3" s="1"/>
  <c r="J7" i="2"/>
  <c r="H17" i="2"/>
  <c r="J16" i="1"/>
  <c r="J18" i="1" s="1"/>
  <c r="J15" i="2"/>
  <c r="H18" i="1"/>
  <c r="H12" i="6"/>
  <c r="H19" i="3" s="1"/>
  <c r="K11" i="2"/>
  <c r="J32" i="6"/>
  <c r="K16" i="2" s="1"/>
  <c r="I18" i="1"/>
  <c r="I12" i="6"/>
  <c r="I19" i="3" s="1"/>
  <c r="K15" i="2"/>
  <c r="I9" i="6"/>
  <c r="J12" i="2"/>
  <c r="K12" i="2"/>
  <c r="H20" i="2"/>
  <c r="H22" i="2" s="1"/>
  <c r="J9" i="6"/>
  <c r="K16" i="1"/>
  <c r="K18" i="1" s="1"/>
  <c r="J12" i="6" l="1"/>
  <c r="J19" i="3" s="1"/>
  <c r="J14" i="2"/>
  <c r="I19" i="6"/>
  <c r="I26" i="6" s="1"/>
  <c r="I14" i="2"/>
  <c r="H19" i="6"/>
  <c r="H26" i="6" s="1"/>
  <c r="H27" i="6" s="1"/>
  <c r="G37" i="5" s="1"/>
  <c r="I5" i="2"/>
  <c r="I17" i="2" s="1"/>
  <c r="K14" i="2" l="1"/>
  <c r="J19" i="6"/>
  <c r="J26" i="6" s="1"/>
  <c r="J27" i="6" s="1"/>
  <c r="I27" i="6"/>
  <c r="H37" i="5" s="1"/>
  <c r="I20" i="2"/>
  <c r="I22" i="2" s="1"/>
  <c r="J5" i="2" l="1"/>
  <c r="J17" i="2" s="1"/>
  <c r="J20" i="2" l="1"/>
  <c r="J22" i="2" s="1"/>
  <c r="K5" i="2" l="1"/>
  <c r="K17" i="2" s="1"/>
  <c r="K20" i="2" l="1"/>
  <c r="K22" i="2" s="1"/>
  <c r="D39" i="5"/>
  <c r="C10" i="5" s="1"/>
  <c r="E39" i="5"/>
  <c r="F39" i="5"/>
  <c r="G39" i="5"/>
  <c r="H39" i="5"/>
  <c r="F5" i="5"/>
  <c r="F8" i="5" s="1"/>
  <c r="G16" i="5" s="1"/>
  <c r="C7" i="5"/>
  <c r="C8" i="5"/>
  <c r="G17" i="5" l="1"/>
  <c r="C17" i="5"/>
  <c r="G21" i="5"/>
  <c r="C20" i="5"/>
  <c r="C29" i="7" s="1"/>
  <c r="C40" i="7" s="1"/>
  <c r="G19" i="5"/>
  <c r="C19" i="5"/>
  <c r="C24" i="7" s="1"/>
  <c r="G18" i="5"/>
  <c r="C18" i="5"/>
  <c r="C18" i="7" s="1"/>
  <c r="C5" i="7" s="1"/>
  <c r="H16" i="5"/>
  <c r="H22" i="5" s="1"/>
  <c r="D21" i="5"/>
  <c r="G20" i="5"/>
  <c r="G22" i="5" l="1"/>
  <c r="C41" i="7"/>
  <c r="C30" i="7" s="1"/>
  <c r="C32" i="7" s="1"/>
  <c r="D29" i="7" s="1"/>
  <c r="C26" i="7"/>
  <c r="D24" i="7" s="1"/>
  <c r="D26" i="7" s="1"/>
  <c r="C38" i="7"/>
  <c r="G31" i="2"/>
  <c r="C19" i="7"/>
  <c r="F18" i="3" s="1"/>
  <c r="D16" i="5"/>
  <c r="F9" i="5" s="1"/>
  <c r="D38" i="7" l="1"/>
  <c r="C16" i="5"/>
  <c r="C22" i="5" s="1"/>
  <c r="D22" i="5"/>
  <c r="D40" i="7"/>
  <c r="D41" i="7"/>
  <c r="D30" i="7" s="1"/>
  <c r="D32" i="7" s="1"/>
  <c r="E24" i="7"/>
  <c r="E29" i="7" l="1"/>
  <c r="E26" i="7"/>
  <c r="E38" i="7"/>
  <c r="F24" i="7" l="1"/>
  <c r="E41" i="7"/>
  <c r="E30" i="7" s="1"/>
  <c r="E32" i="7" s="1"/>
  <c r="E40" i="7"/>
  <c r="F29" i="7" l="1"/>
  <c r="F38" i="7"/>
  <c r="F26" i="7"/>
  <c r="G24" i="7" l="1"/>
  <c r="F41" i="7"/>
  <c r="F30" i="7" s="1"/>
  <c r="F32" i="7" s="1"/>
  <c r="F40" i="7"/>
  <c r="G29" i="7" l="1"/>
  <c r="G38" i="7"/>
  <c r="G26" i="7"/>
  <c r="G41" i="7" l="1"/>
  <c r="G30" i="7" s="1"/>
  <c r="G40" i="7"/>
  <c r="F24" i="3" l="1"/>
  <c r="F4" i="3"/>
  <c r="G4" i="3"/>
  <c r="H4" i="3"/>
  <c r="I4" i="3"/>
  <c r="J4" i="3"/>
  <c r="F8" i="3"/>
  <c r="G8" i="3"/>
  <c r="H8" i="3"/>
  <c r="I8" i="3"/>
  <c r="J8" i="3"/>
  <c r="F11" i="3"/>
  <c r="G11" i="3"/>
  <c r="H11" i="3"/>
  <c r="I11" i="3"/>
  <c r="J11" i="3"/>
  <c r="F16" i="3"/>
  <c r="G16" i="3"/>
  <c r="H16" i="3"/>
  <c r="I16" i="3"/>
  <c r="J16" i="3"/>
  <c r="G18" i="3"/>
  <c r="H18" i="3"/>
  <c r="I18" i="3"/>
  <c r="J18" i="3"/>
  <c r="G24" i="3"/>
  <c r="H24" i="3"/>
  <c r="I24" i="3"/>
  <c r="J24" i="3"/>
  <c r="F26" i="3"/>
  <c r="G26" i="3"/>
  <c r="H26" i="3"/>
  <c r="I26" i="3"/>
  <c r="J26" i="3"/>
  <c r="F33" i="3"/>
  <c r="G33" i="3"/>
  <c r="H33" i="3"/>
  <c r="I33" i="3"/>
  <c r="J33" i="3"/>
  <c r="F34" i="3"/>
  <c r="G34" i="3"/>
  <c r="H34" i="3"/>
  <c r="I34" i="3"/>
  <c r="J34" i="3"/>
  <c r="F38" i="3"/>
  <c r="G38" i="3"/>
  <c r="H38" i="3"/>
  <c r="I38" i="3"/>
  <c r="J38" i="3"/>
  <c r="F40" i="3"/>
  <c r="G40" i="3"/>
  <c r="H40" i="3"/>
  <c r="I40" i="3"/>
  <c r="J40" i="3"/>
  <c r="F41" i="3"/>
  <c r="G41" i="3"/>
  <c r="H41" i="3"/>
  <c r="I41" i="3"/>
  <c r="J41" i="3"/>
  <c r="F43" i="3"/>
  <c r="G43" i="3"/>
  <c r="H43" i="3"/>
  <c r="I43" i="3"/>
  <c r="J43" i="3"/>
  <c r="G4" i="2"/>
  <c r="H4" i="2"/>
  <c r="I4" i="2"/>
  <c r="J4" i="2"/>
  <c r="K4" i="2"/>
  <c r="G30" i="2"/>
  <c r="H30" i="2"/>
  <c r="I30" i="2"/>
  <c r="J30" i="2"/>
  <c r="K30" i="2"/>
  <c r="H31" i="2"/>
  <c r="I31" i="2"/>
  <c r="J31" i="2"/>
  <c r="K31" i="2"/>
  <c r="G33" i="2"/>
  <c r="H33" i="2"/>
  <c r="I33" i="2"/>
  <c r="J33" i="2"/>
  <c r="K33" i="2"/>
  <c r="G36" i="2"/>
  <c r="H36" i="2"/>
  <c r="I36" i="2"/>
  <c r="J36" i="2"/>
  <c r="K36" i="2"/>
  <c r="H37" i="2"/>
  <c r="I37" i="2"/>
  <c r="J37" i="2"/>
  <c r="K37" i="2"/>
  <c r="G38" i="2"/>
  <c r="H38" i="2"/>
  <c r="I38" i="2"/>
  <c r="J38" i="2"/>
  <c r="K38" i="2"/>
  <c r="C3" i="7"/>
  <c r="D3" i="7"/>
  <c r="E3" i="7"/>
  <c r="F3" i="7"/>
  <c r="G3" i="7"/>
  <c r="D5" i="7"/>
  <c r="E5" i="7"/>
  <c r="F5" i="7"/>
  <c r="G5" i="7"/>
  <c r="C6" i="7"/>
  <c r="D6" i="7"/>
  <c r="E6" i="7"/>
  <c r="F6" i="7"/>
  <c r="G6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5" i="7"/>
  <c r="D15" i="7"/>
  <c r="E15" i="7"/>
  <c r="F15" i="7"/>
  <c r="G15" i="7"/>
  <c r="D18" i="7"/>
  <c r="E18" i="7"/>
  <c r="F18" i="7"/>
  <c r="G18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G31" i="7"/>
  <c r="G32" i="7"/>
  <c r="C36" i="7"/>
  <c r="D36" i="7"/>
  <c r="E36" i="7"/>
  <c r="F36" i="7"/>
  <c r="G36" i="7"/>
  <c r="C37" i="7"/>
  <c r="D37" i="7"/>
  <c r="E37" i="7"/>
  <c r="F37" i="7"/>
  <c r="G37" i="7"/>
  <c r="C43" i="7"/>
  <c r="D43" i="7"/>
  <c r="E43" i="7"/>
  <c r="F43" i="7"/>
  <c r="G43" i="7"/>
  <c r="C45" i="7"/>
  <c r="D45" i="7"/>
  <c r="E45" i="7"/>
  <c r="F45" i="7"/>
  <c r="G45" i="7"/>
  <c r="C47" i="7"/>
  <c r="D47" i="7"/>
  <c r="E47" i="7"/>
  <c r="F47" i="7"/>
  <c r="G47" i="7"/>
  <c r="C49" i="7"/>
  <c r="D49" i="7"/>
  <c r="E49" i="7"/>
  <c r="F49" i="7"/>
  <c r="G49" i="7"/>
  <c r="H15" i="4"/>
  <c r="I15" i="4"/>
  <c r="J15" i="4"/>
  <c r="K15" i="4"/>
  <c r="L15" i="4"/>
  <c r="G16" i="4"/>
  <c r="H17" i="4"/>
  <c r="I17" i="4"/>
  <c r="J17" i="4"/>
  <c r="K17" i="4"/>
  <c r="L17" i="4"/>
  <c r="G18" i="4"/>
  <c r="H18" i="4"/>
  <c r="I18" i="4"/>
  <c r="J18" i="4"/>
  <c r="K18" i="4"/>
  <c r="L18" i="4"/>
  <c r="G20" i="4"/>
  <c r="G21" i="4"/>
  <c r="G25" i="1"/>
  <c r="H25" i="1"/>
  <c r="I25" i="1"/>
  <c r="J25" i="1"/>
  <c r="K25" i="1"/>
  <c r="G26" i="1"/>
  <c r="H26" i="1"/>
  <c r="I26" i="1"/>
  <c r="J26" i="1"/>
  <c r="K26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9" i="1"/>
  <c r="H39" i="1"/>
  <c r="I39" i="1"/>
  <c r="J39" i="1"/>
  <c r="K39" i="1"/>
  <c r="G41" i="1"/>
  <c r="H41" i="1"/>
  <c r="I41" i="1"/>
  <c r="J41" i="1"/>
  <c r="K41" i="1"/>
  <c r="G42" i="1"/>
  <c r="H42" i="1"/>
  <c r="I42" i="1"/>
  <c r="J42" i="1"/>
  <c r="K42" i="1"/>
  <c r="G44" i="1"/>
  <c r="H44" i="1"/>
  <c r="I44" i="1"/>
  <c r="J44" i="1"/>
  <c r="K44" i="1"/>
  <c r="D30" i="5"/>
  <c r="E30" i="5"/>
  <c r="F30" i="5"/>
  <c r="G30" i="5"/>
  <c r="H30" i="5"/>
  <c r="D31" i="5"/>
  <c r="E31" i="5"/>
  <c r="F31" i="5"/>
  <c r="G31" i="5"/>
  <c r="H31" i="5"/>
  <c r="D33" i="5"/>
  <c r="E33" i="5"/>
  <c r="F33" i="5"/>
  <c r="G33" i="5"/>
  <c r="H33" i="5"/>
  <c r="D35" i="5"/>
  <c r="E35" i="5"/>
  <c r="F35" i="5"/>
  <c r="G35" i="5"/>
  <c r="H35" i="5"/>
  <c r="D42" i="5"/>
  <c r="E42" i="5"/>
  <c r="F42" i="5"/>
  <c r="G42" i="5"/>
  <c r="H42" i="5"/>
  <c r="D45" i="5"/>
  <c r="E45" i="5"/>
  <c r="F45" i="5"/>
  <c r="G45" i="5"/>
  <c r="H45" i="5"/>
  <c r="H48" i="5"/>
  <c r="H49" i="5"/>
  <c r="H50" i="5"/>
  <c r="H51" i="5"/>
  <c r="H52" i="5"/>
  <c r="H54" i="5"/>
  <c r="H55" i="5"/>
  <c r="B61" i="5"/>
  <c r="J61" i="5"/>
</calcChain>
</file>

<file path=xl/sharedStrings.xml><?xml version="1.0" encoding="utf-8"?>
<sst xmlns="http://schemas.openxmlformats.org/spreadsheetml/2006/main" count="248" uniqueCount="198">
  <si>
    <t>Item</t>
  </si>
  <si>
    <t>Depreciation</t>
  </si>
  <si>
    <t>Interest</t>
  </si>
  <si>
    <t>Cash and cash equivalents</t>
  </si>
  <si>
    <t>Property and equipment, net</t>
  </si>
  <si>
    <t>Goodwill</t>
  </si>
  <si>
    <t>Other assets</t>
  </si>
  <si>
    <t>Total assets</t>
  </si>
  <si>
    <t>Accounts payable</t>
  </si>
  <si>
    <t>Common stock</t>
  </si>
  <si>
    <t>Additional paid-in capital</t>
  </si>
  <si>
    <t>Retained earnings</t>
  </si>
  <si>
    <t>Accumulated other comprehensive loss</t>
  </si>
  <si>
    <t>Revenue: Software licenses</t>
  </si>
  <si>
    <t>Maintenance and services</t>
  </si>
  <si>
    <t>Total revenue</t>
  </si>
  <si>
    <t>Costs of revenue: Cost of software licenses</t>
  </si>
  <si>
    <t>Cost of maintenance and services</t>
  </si>
  <si>
    <t>Amortization of acquired intangibles</t>
  </si>
  <si>
    <t>Gross profit</t>
  </si>
  <si>
    <t>Restructuring expenses</t>
  </si>
  <si>
    <t>Acquisition-related expenses</t>
  </si>
  <si>
    <t>Total operating expenses</t>
  </si>
  <si>
    <t>Income from operations</t>
  </si>
  <si>
    <t>Interest income and other, net</t>
  </si>
  <si>
    <t>Total other expense, net</t>
  </si>
  <si>
    <t>Net income</t>
  </si>
  <si>
    <t>Current Assets</t>
  </si>
  <si>
    <t>Accounts receivable</t>
  </si>
  <si>
    <t>Unbilled receivables</t>
  </si>
  <si>
    <t>Other current assets</t>
  </si>
  <si>
    <t>Total current assets</t>
  </si>
  <si>
    <t>Long-term unbilled receivables</t>
  </si>
  <si>
    <t>Intangible assets, net</t>
  </si>
  <si>
    <t>Right-of-use lease assets</t>
  </si>
  <si>
    <t>Deferred tax assets</t>
  </si>
  <si>
    <t>Current portion of long-term debt, net</t>
  </si>
  <si>
    <t>Current Liabilities</t>
  </si>
  <si>
    <t>Accrued compensation and related payroll taxes</t>
  </si>
  <si>
    <t>Dividends payable to stockholders</t>
  </si>
  <si>
    <t>Short-term operating lease liabilities</t>
  </si>
  <si>
    <t>Short-term deferred revenue, net</t>
  </si>
  <si>
    <t>Total current liabilities</t>
  </si>
  <si>
    <t>Long-term debt, net</t>
  </si>
  <si>
    <t>Non-Current Liabilities</t>
  </si>
  <si>
    <t>Convertible senior notes, net</t>
  </si>
  <si>
    <t>Long-term operating lease liabilities</t>
  </si>
  <si>
    <t>Long-term deferred revenue, net</t>
  </si>
  <si>
    <t>Deferred tax liabilities</t>
  </si>
  <si>
    <t>Other noncurrent liabilities</t>
  </si>
  <si>
    <t>Stockholders' Equity</t>
  </si>
  <si>
    <t>Total stockholders' equity</t>
  </si>
  <si>
    <t>Total liabilities and stockholders' equity</t>
  </si>
  <si>
    <t>Depreciation and amortization of property and equipment</t>
  </si>
  <si>
    <t>Amortization of acquired intangibles and other</t>
  </si>
  <si>
    <t>Amortization of debt discount and issuance costs</t>
  </si>
  <si>
    <t>Stock-based compensation</t>
  </si>
  <si>
    <t>Non-cash lease expense</t>
  </si>
  <si>
    <t>Changes in accounts receivable</t>
  </si>
  <si>
    <t>Changes in other assets</t>
  </si>
  <si>
    <t>Changes in inventories</t>
  </si>
  <si>
    <t>Changes in accounts payable and accrued liabilities</t>
  </si>
  <si>
    <t>Changes in deferred revenue, net</t>
  </si>
  <si>
    <t>Net cash flows from operating activities</t>
  </si>
  <si>
    <t>Purchases of investments</t>
  </si>
  <si>
    <t>Purchases of property and equipment</t>
  </si>
  <si>
    <t>Payments for acquisitions, net of cash acquired</t>
  </si>
  <si>
    <t>Net cash flows (used in) from investing activities</t>
  </si>
  <si>
    <t>Proceeds from equity plans</t>
  </si>
  <si>
    <t>Repurchases of common stock</t>
  </si>
  <si>
    <t>Proceeds from issuance of convertible senior notes</t>
  </si>
  <si>
    <t>Purchase of capped calls</t>
  </si>
  <si>
    <t>Dividend payments to stockholders</t>
  </si>
  <si>
    <t>Proceeds from the issuance of debt</t>
  </si>
  <si>
    <t>Repayment of revolving line of credit</t>
  </si>
  <si>
    <t>Principal payment on term loan</t>
  </si>
  <si>
    <t>Payment of credit facility debt issuance costs</t>
  </si>
  <si>
    <t>Net cash flows from (used in) financing activities</t>
  </si>
  <si>
    <t>Effect of exchange rate changes on cash</t>
  </si>
  <si>
    <t>Net (decrease) increase in cash and cash equivalents</t>
  </si>
  <si>
    <t>Cash and cash equivalents, beginning of year</t>
  </si>
  <si>
    <t>Cash and cash equivalents, end of year</t>
  </si>
  <si>
    <t>% growth</t>
  </si>
  <si>
    <t>R&amp;D</t>
  </si>
  <si>
    <t>OpEx</t>
  </si>
  <si>
    <t xml:space="preserve"> Sales and marketing</t>
  </si>
  <si>
    <t>Total COGS</t>
  </si>
  <si>
    <t>G&amp;A</t>
  </si>
  <si>
    <t>Cybersecurity</t>
  </si>
  <si>
    <t>FX</t>
  </si>
  <si>
    <t>EBT</t>
  </si>
  <si>
    <t>Tax expense</t>
  </si>
  <si>
    <t>Tax rate</t>
  </si>
  <si>
    <t>PP&amp;E</t>
  </si>
  <si>
    <t>Intangible assets</t>
  </si>
  <si>
    <t>Purchases</t>
  </si>
  <si>
    <t>Ending balance</t>
  </si>
  <si>
    <t>Amortization</t>
  </si>
  <si>
    <t>CFO</t>
  </si>
  <si>
    <t>CFF</t>
  </si>
  <si>
    <t>CFI</t>
  </si>
  <si>
    <t>%Depreciation</t>
  </si>
  <si>
    <t>Assumptions</t>
  </si>
  <si>
    <t>Entry assumptions</t>
  </si>
  <si>
    <t>Debt assumptions</t>
  </si>
  <si>
    <t>LTM EBITDA</t>
  </si>
  <si>
    <t>Revenue growth</t>
  </si>
  <si>
    <t>Entry multiple</t>
  </si>
  <si>
    <t>EBITDA margin</t>
  </si>
  <si>
    <t>Equity purchase value</t>
  </si>
  <si>
    <t>TLA</t>
  </si>
  <si>
    <t>D&amp;A</t>
  </si>
  <si>
    <t>Sponsor equity</t>
  </si>
  <si>
    <t>NWC change</t>
  </si>
  <si>
    <t>TLB</t>
  </si>
  <si>
    <t>CapEx</t>
  </si>
  <si>
    <t>Tax Rate</t>
  </si>
  <si>
    <t>Interest Cash</t>
  </si>
  <si>
    <t>Sources</t>
  </si>
  <si>
    <t>Amount</t>
  </si>
  <si>
    <t>xEBITDA</t>
  </si>
  <si>
    <t>Uses</t>
  </si>
  <si>
    <t>Equity purchase price</t>
  </si>
  <si>
    <t>Debt restructuring</t>
  </si>
  <si>
    <t>Management rollover</t>
  </si>
  <si>
    <t>M&amp;A advisory fees</t>
  </si>
  <si>
    <t>Minimal cash balance</t>
  </si>
  <si>
    <t>DSRA balance</t>
  </si>
  <si>
    <t>Total sources</t>
  </si>
  <si>
    <t>Total uses</t>
  </si>
  <si>
    <t>Revenue</t>
  </si>
  <si>
    <t>EBITDA</t>
  </si>
  <si>
    <t>CFADS</t>
  </si>
  <si>
    <t>Beginning balance</t>
  </si>
  <si>
    <t>Minimal cash floor</t>
  </si>
  <si>
    <t>Cashsweep</t>
  </si>
  <si>
    <t>RCF</t>
  </si>
  <si>
    <t>Drawdown</t>
  </si>
  <si>
    <t>Repayment</t>
  </si>
  <si>
    <t>Optional repayment</t>
  </si>
  <si>
    <t>Mezzanine</t>
  </si>
  <si>
    <t>Capitalized PIK</t>
  </si>
  <si>
    <t>Interest RCF</t>
  </si>
  <si>
    <t>Interest TLA</t>
  </si>
  <si>
    <t>Interest Mezz</t>
  </si>
  <si>
    <t>Cash</t>
  </si>
  <si>
    <t>PIK</t>
  </si>
  <si>
    <t>Tax shield</t>
  </si>
  <si>
    <t xml:space="preserve"> Interest expense</t>
  </si>
  <si>
    <t>Total Interest Expense</t>
  </si>
  <si>
    <t>RCF Unused Commitment</t>
  </si>
  <si>
    <t>Interest Rate</t>
  </si>
  <si>
    <t>Commitment Fee</t>
  </si>
  <si>
    <t xml:space="preserve">RCF  </t>
  </si>
  <si>
    <t>Interest PIK</t>
  </si>
  <si>
    <t>Annual Amortization</t>
  </si>
  <si>
    <t>ST Deferred Revenue</t>
  </si>
  <si>
    <t>Receivable Days</t>
  </si>
  <si>
    <t>Payable Days</t>
  </si>
  <si>
    <t>Operational Net Working Capital</t>
  </si>
  <si>
    <t>Actual</t>
  </si>
  <si>
    <t>Projected</t>
  </si>
  <si>
    <t>Accrued Expenses</t>
  </si>
  <si>
    <t>Unbilled Receivable Days</t>
  </si>
  <si>
    <t>Total Current Non-Cash Assets</t>
  </si>
  <si>
    <t>Total Current Non-Debt Liabilities</t>
  </si>
  <si>
    <t>Change In NWC</t>
  </si>
  <si>
    <t>Out of NWC adjustment</t>
  </si>
  <si>
    <t>Other Assets</t>
  </si>
  <si>
    <t>% Revenue</t>
  </si>
  <si>
    <t>Changes in LT Other Assets</t>
  </si>
  <si>
    <t>%CapEx</t>
  </si>
  <si>
    <t>%Rev CapEx Growth</t>
  </si>
  <si>
    <t>%Depr CapEx Maintenance</t>
  </si>
  <si>
    <t>Cash After the Debt Repayment</t>
  </si>
  <si>
    <t>Enterprise value</t>
  </si>
  <si>
    <t>(-) Debt</t>
  </si>
  <si>
    <t>(+) Cash</t>
  </si>
  <si>
    <t>Equity Value</t>
  </si>
  <si>
    <t>IRR</t>
  </si>
  <si>
    <t>MOIC</t>
  </si>
  <si>
    <t>Actuals</t>
  </si>
  <si>
    <t>Projection</t>
  </si>
  <si>
    <t>Change in Other Assets</t>
  </si>
  <si>
    <t>Total liabilities</t>
  </si>
  <si>
    <t>Total non-current liabilities</t>
  </si>
  <si>
    <t>Sensitivity tables</t>
  </si>
  <si>
    <t>Exit Multiple</t>
  </si>
  <si>
    <t>DSCR</t>
  </si>
  <si>
    <t>Cash on balance sheet</t>
  </si>
  <si>
    <t>Debt arrangement fee</t>
  </si>
  <si>
    <t>Progress Software LBO</t>
  </si>
  <si>
    <t>Debt Size VS Debt Interest</t>
  </si>
  <si>
    <t>Balance Check</t>
  </si>
  <si>
    <t>Revenue growth rate Inc/Decr</t>
  </si>
  <si>
    <t>Entry VS Exit Multiple</t>
  </si>
  <si>
    <t xml:space="preserve">  Amortization</t>
  </si>
  <si>
    <t>Interest TLB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</si>
</sst>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x"/>
    <numFmt numFmtId="165" formatCode="&quot;Year &quot;0"/>
    <numFmt numFmtId="166" formatCode="_(* #,##0_);_(* \(#,##0\);_(* &quot;-&quot;_);_(@_)"/>
    <numFmt numFmtId="167" formatCode="_(* #,##0_);_(* \(#,##0\);_(* \-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33CC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A9BF2"/>
        <bgColor indexed="64"/>
      </patternFill>
    </fill>
    <fill>
      <patternFill patternType="solid">
        <fgColor rgb="FF7D249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0" fillId="3" borderId="0" xfId="0" applyFill="1"/>
    <xf numFmtId="9" fontId="0" fillId="0" borderId="0" xfId="1" applyFont="1"/>
    <xf numFmtId="10" fontId="4" fillId="0" borderId="0" xfId="0" applyNumberFormat="1" applyFont="1"/>
    <xf numFmtId="0" fontId="0" fillId="0" borderId="2" xfId="0" applyBorder="1"/>
    <xf numFmtId="0" fontId="0" fillId="0" borderId="5" xfId="0" applyBorder="1"/>
    <xf numFmtId="9" fontId="0" fillId="0" borderId="6" xfId="1" applyFont="1" applyBorder="1"/>
    <xf numFmtId="166" fontId="0" fillId="0" borderId="0" xfId="0" applyNumberFormat="1"/>
    <xf numFmtId="9" fontId="2" fillId="2" borderId="0" xfId="1" applyFont="1" applyFill="1"/>
    <xf numFmtId="165" fontId="2" fillId="2" borderId="0" xfId="0" applyNumberFormat="1" applyFont="1" applyFill="1"/>
    <xf numFmtId="0" fontId="1" fillId="0" borderId="7" xfId="0" applyFont="1" applyBorder="1"/>
    <xf numFmtId="166" fontId="0" fillId="0" borderId="9" xfId="0" applyNumberFormat="1" applyBorder="1"/>
    <xf numFmtId="166" fontId="0" fillId="0" borderId="8" xfId="0" applyNumberFormat="1" applyBorder="1"/>
    <xf numFmtId="0" fontId="1" fillId="0" borderId="1" xfId="0" applyFont="1" applyBorder="1"/>
    <xf numFmtId="0" fontId="1" fillId="0" borderId="4" xfId="0" applyFont="1" applyBorder="1"/>
    <xf numFmtId="0" fontId="6" fillId="0" borderId="0" xfId="0" applyFont="1"/>
    <xf numFmtId="0" fontId="7" fillId="2" borderId="0" xfId="0" applyFont="1" applyFill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2" fontId="5" fillId="0" borderId="12" xfId="0" applyNumberFormat="1" applyFont="1" applyBorder="1"/>
    <xf numFmtId="164" fontId="2" fillId="4" borderId="13" xfId="0" applyNumberFormat="1" applyFont="1" applyFill="1" applyBorder="1"/>
    <xf numFmtId="164" fontId="2" fillId="4" borderId="14" xfId="0" applyNumberFormat="1" applyFont="1" applyFill="1" applyBorder="1"/>
    <xf numFmtId="164" fontId="2" fillId="4" borderId="15" xfId="0" applyNumberFormat="1" applyFont="1" applyFill="1" applyBorder="1"/>
    <xf numFmtId="164" fontId="2" fillId="4" borderId="17" xfId="0" applyNumberFormat="1" applyFont="1" applyFill="1" applyBorder="1"/>
    <xf numFmtId="164" fontId="0" fillId="0" borderId="16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0" fontId="0" fillId="0" borderId="16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10" fontId="0" fillId="0" borderId="10" xfId="0" applyNumberFormat="1" applyBorder="1"/>
    <xf numFmtId="10" fontId="0" fillId="0" borderId="11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18" xfId="0" applyNumberFormat="1" applyBorder="1"/>
    <xf numFmtId="10" fontId="0" fillId="0" borderId="19" xfId="0" applyNumberFormat="1" applyBorder="1"/>
    <xf numFmtId="166" fontId="1" fillId="0" borderId="0" xfId="0" applyNumberFormat="1" applyFont="1"/>
    <xf numFmtId="166" fontId="1" fillId="0" borderId="7" xfId="0" applyNumberFormat="1" applyFont="1" applyBorder="1"/>
    <xf numFmtId="1" fontId="2" fillId="4" borderId="13" xfId="0" applyNumberFormat="1" applyFont="1" applyFill="1" applyBorder="1"/>
    <xf numFmtId="1" fontId="2" fillId="4" borderId="0" xfId="0" applyNumberFormat="1" applyFont="1" applyFill="1"/>
    <xf numFmtId="0" fontId="0" fillId="0" borderId="1" xfId="0" applyBorder="1"/>
    <xf numFmtId="166" fontId="0" fillId="0" borderId="2" xfId="0" applyNumberFormat="1" applyBorder="1"/>
    <xf numFmtId="166" fontId="0" fillId="0" borderId="3" xfId="0" applyNumberFormat="1" applyBorder="1"/>
    <xf numFmtId="0" fontId="0" fillId="0" borderId="10" xfId="0" applyBorder="1"/>
    <xf numFmtId="9" fontId="0" fillId="0" borderId="11" xfId="0" applyNumberFormat="1" applyBorder="1"/>
    <xf numFmtId="166" fontId="0" fillId="0" borderId="11" xfId="0" applyNumberFormat="1" applyBorder="1"/>
    <xf numFmtId="0" fontId="1" fillId="0" borderId="10" xfId="0" applyFont="1" applyBorder="1"/>
    <xf numFmtId="0" fontId="0" fillId="0" borderId="11" xfId="0" applyBorder="1"/>
    <xf numFmtId="0" fontId="0" fillId="0" borderId="4" xfId="0" applyBorder="1"/>
    <xf numFmtId="166" fontId="0" fillId="0" borderId="5" xfId="0" applyNumberFormat="1" applyBorder="1"/>
    <xf numFmtId="166" fontId="0" fillId="0" borderId="6" xfId="0" applyNumberFormat="1" applyBorder="1"/>
    <xf numFmtId="0" fontId="0" fillId="0" borderId="3" xfId="0" applyBorder="1"/>
    <xf numFmtId="167" fontId="0" fillId="0" borderId="0" xfId="0" applyNumberFormat="1"/>
    <xf numFmtId="167" fontId="0" fillId="0" borderId="11" xfId="0" applyNumberFormat="1" applyBorder="1"/>
    <xf numFmtId="167" fontId="0" fillId="0" borderId="5" xfId="0" applyNumberFormat="1" applyBorder="1"/>
    <xf numFmtId="167" fontId="0" fillId="0" borderId="6" xfId="0" applyNumberFormat="1" applyBorder="1"/>
    <xf numFmtId="10" fontId="4" fillId="0" borderId="11" xfId="0" applyNumberFormat="1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/>
    <xf numFmtId="2" fontId="4" fillId="0" borderId="0" xfId="0" applyNumberFormat="1" applyFont="1"/>
    <xf numFmtId="2" fontId="4" fillId="0" borderId="11" xfId="0" applyNumberFormat="1" applyFont="1" applyBorder="1"/>
    <xf numFmtId="2" fontId="0" fillId="0" borderId="5" xfId="0" applyNumberFormat="1" applyBorder="1"/>
    <xf numFmtId="2" fontId="0" fillId="0" borderId="6" xfId="0" applyNumberFormat="1" applyBorder="1"/>
    <xf numFmtId="166" fontId="0" fillId="0" borderId="1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165" fontId="2" fillId="5" borderId="0" xfId="0" applyNumberFormat="1" applyFont="1" applyFill="1" applyAlignment="1">
      <alignment horizontal="center"/>
    </xf>
    <xf numFmtId="165" fontId="2" fillId="2" borderId="18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33CC"/>
      <color rgb="FF7D249C"/>
      <color rgb="FF60A21E"/>
      <color rgb="FFFF3300"/>
      <color rgb="FF6D90FF"/>
      <color rgb="FF8A9BF2"/>
      <color rgb="FF4A77D2"/>
      <color rgb="FF5593ED"/>
      <color rgb="FF00CC66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22A2-D0D3-4D0A-A7FC-BD6497858AA7}">
  <dimension ref="B2:O66"/>
  <sheetViews>
    <sheetView showGridLines="0" tabSelected="1" topLeftCell="A23" zoomScale="49" workbookViewId="0">
      <selection activeCell="G66" sqref="B59:G66"/>
    </sheetView>
  </sheetViews>
  <sheetFormatPr defaultRowHeight="14.5" x14ac:dyDescent="0.35"/>
  <cols>
    <col min="1" max="1" width="3.81640625" customWidth="1"/>
    <col min="2" max="2" width="20.08984375" bestFit="1" customWidth="1"/>
    <col min="3" max="3" width="12.81640625" bestFit="1" customWidth="1"/>
    <col min="4" max="4" width="10.7265625" bestFit="1" customWidth="1"/>
    <col min="5" max="5" width="13.1796875" bestFit="1" customWidth="1"/>
    <col min="6" max="6" width="12.26953125" bestFit="1" customWidth="1"/>
    <col min="7" max="7" width="18.26953125" bestFit="1" customWidth="1"/>
    <col min="8" max="8" width="16.54296875" bestFit="1" customWidth="1"/>
    <col min="9" max="9" width="13.08984375" bestFit="1" customWidth="1"/>
    <col min="10" max="10" width="11.26953125" bestFit="1" customWidth="1"/>
    <col min="11" max="11" width="15" bestFit="1" customWidth="1"/>
    <col min="12" max="12" width="8.81640625" bestFit="1" customWidth="1"/>
  </cols>
  <sheetData>
    <row r="2" spans="2:15" ht="26" x14ac:dyDescent="0.6">
      <c r="B2" s="20" t="s">
        <v>191</v>
      </c>
    </row>
    <row r="4" spans="2:15" x14ac:dyDescent="0.35">
      <c r="B4" s="5" t="s">
        <v>102</v>
      </c>
      <c r="C4" s="5"/>
      <c r="E4" s="5" t="s">
        <v>103</v>
      </c>
      <c r="F4" s="5"/>
      <c r="H4" s="5" t="s">
        <v>104</v>
      </c>
      <c r="I4" s="5"/>
    </row>
    <row r="5" spans="2:15" x14ac:dyDescent="0.35">
      <c r="B5" t="s">
        <v>130</v>
      </c>
      <c r="C5" s="12">
        <f>IS!F8</f>
        <v>753409</v>
      </c>
      <c r="E5" t="s">
        <v>105</v>
      </c>
      <c r="F5" s="12">
        <f>C30</f>
        <v>227047</v>
      </c>
      <c r="I5" s="6" t="s">
        <v>119</v>
      </c>
      <c r="J5" s="6" t="s">
        <v>151</v>
      </c>
      <c r="K5" s="6" t="s">
        <v>152</v>
      </c>
    </row>
    <row r="6" spans="2:15" x14ac:dyDescent="0.35">
      <c r="B6" t="s">
        <v>106</v>
      </c>
      <c r="C6" s="2">
        <f>IS!G9</f>
        <v>0.10407228462826446</v>
      </c>
      <c r="E6" t="s">
        <v>107</v>
      </c>
      <c r="F6" s="4">
        <v>13</v>
      </c>
      <c r="H6" t="s">
        <v>153</v>
      </c>
      <c r="I6" s="12">
        <v>50000</v>
      </c>
      <c r="J6" s="3">
        <v>0.04</v>
      </c>
      <c r="K6" s="2">
        <v>5.0000000000000001E-3</v>
      </c>
    </row>
    <row r="7" spans="2:15" x14ac:dyDescent="0.35">
      <c r="B7" t="s">
        <v>108</v>
      </c>
      <c r="C7" s="2">
        <f>C30/C28</f>
        <v>0.30135955370854345</v>
      </c>
      <c r="E7" t="s">
        <v>187</v>
      </c>
      <c r="F7" s="4">
        <v>13</v>
      </c>
      <c r="I7" s="6" t="s">
        <v>119</v>
      </c>
      <c r="J7" s="6" t="s">
        <v>151</v>
      </c>
      <c r="K7" s="6" t="s">
        <v>155</v>
      </c>
      <c r="L7" s="6" t="s">
        <v>120</v>
      </c>
    </row>
    <row r="8" spans="2:15" x14ac:dyDescent="0.35">
      <c r="B8" t="s">
        <v>111</v>
      </c>
      <c r="C8" s="7">
        <f>(C30-C33)/C28</f>
        <v>0.30135955370854345</v>
      </c>
      <c r="E8" t="s">
        <v>109</v>
      </c>
      <c r="F8" s="12">
        <f>F6*F5</f>
        <v>2951611</v>
      </c>
      <c r="H8" t="s">
        <v>110</v>
      </c>
      <c r="I8" s="3">
        <f>L8/$F$6</f>
        <v>0.11538461538461539</v>
      </c>
      <c r="J8" s="3">
        <v>0.06</v>
      </c>
      <c r="K8" s="3">
        <v>0.05</v>
      </c>
      <c r="L8" s="4">
        <v>1.5</v>
      </c>
    </row>
    <row r="9" spans="2:15" x14ac:dyDescent="0.35">
      <c r="B9" t="s">
        <v>113</v>
      </c>
      <c r="C9" s="7">
        <f>-D37/D28</f>
        <v>9.4393245142571816E-2</v>
      </c>
      <c r="E9" t="s">
        <v>112</v>
      </c>
      <c r="F9" s="12">
        <f>D16*$F$5</f>
        <v>1614291.61</v>
      </c>
      <c r="I9" s="6" t="s">
        <v>119</v>
      </c>
      <c r="J9" s="6" t="s">
        <v>151</v>
      </c>
      <c r="L9" s="6" t="s">
        <v>120</v>
      </c>
    </row>
    <row r="10" spans="2:15" x14ac:dyDescent="0.35">
      <c r="B10" t="s">
        <v>115</v>
      </c>
      <c r="C10" s="7">
        <f>-D39/D28</f>
        <v>5.5032782860541772E-2</v>
      </c>
      <c r="H10" t="s">
        <v>114</v>
      </c>
      <c r="I10" s="3">
        <f>L10/$F$6</f>
        <v>0.30769230769230771</v>
      </c>
      <c r="J10" s="3">
        <v>0.09</v>
      </c>
      <c r="L10" s="4">
        <v>4</v>
      </c>
    </row>
    <row r="11" spans="2:15" x14ac:dyDescent="0.35">
      <c r="I11" s="6" t="s">
        <v>119</v>
      </c>
      <c r="J11" s="6" t="s">
        <v>117</v>
      </c>
      <c r="K11" s="6" t="s">
        <v>154</v>
      </c>
      <c r="L11" s="6" t="s">
        <v>120</v>
      </c>
    </row>
    <row r="12" spans="2:15" x14ac:dyDescent="0.35">
      <c r="B12" t="s">
        <v>116</v>
      </c>
      <c r="H12" t="s">
        <v>140</v>
      </c>
      <c r="I12" s="3">
        <f>L12/$F$6</f>
        <v>7.6923076923076927E-2</v>
      </c>
      <c r="J12" s="3">
        <v>0.05</v>
      </c>
      <c r="K12" s="3">
        <v>7.0000000000000007E-2</v>
      </c>
      <c r="L12" s="4">
        <v>1</v>
      </c>
    </row>
    <row r="13" spans="2:15" x14ac:dyDescent="0.35">
      <c r="I13" s="3"/>
      <c r="O13" s="3"/>
    </row>
    <row r="15" spans="2:15" x14ac:dyDescent="0.35">
      <c r="B15" s="5" t="s">
        <v>118</v>
      </c>
      <c r="C15" s="5" t="s">
        <v>119</v>
      </c>
      <c r="D15" s="5" t="s">
        <v>120</v>
      </c>
      <c r="F15" s="5" t="s">
        <v>121</v>
      </c>
      <c r="G15" s="13" t="s">
        <v>119</v>
      </c>
      <c r="H15" s="5" t="s">
        <v>120</v>
      </c>
    </row>
    <row r="16" spans="2:15" x14ac:dyDescent="0.35">
      <c r="B16" s="53" t="s">
        <v>112</v>
      </c>
      <c r="C16" s="54">
        <f>D16*$F$5</f>
        <v>1614291.61</v>
      </c>
      <c r="D16" s="24">
        <f>H22-SUM(D17:D21)</f>
        <v>7.1099446810572262</v>
      </c>
      <c r="F16" s="53" t="s">
        <v>122</v>
      </c>
      <c r="G16" s="54">
        <f>F8</f>
        <v>2951611</v>
      </c>
      <c r="H16" s="24">
        <f>G16/F5</f>
        <v>13</v>
      </c>
    </row>
    <row r="17" spans="2:8" x14ac:dyDescent="0.35">
      <c r="B17" s="56" t="s">
        <v>124</v>
      </c>
      <c r="C17" s="12">
        <f>D17*$F$5</f>
        <v>68114.099999999991</v>
      </c>
      <c r="D17" s="26">
        <v>0.3</v>
      </c>
      <c r="F17" s="56" t="s">
        <v>123</v>
      </c>
      <c r="G17" s="12">
        <f>H17*$F$5</f>
        <v>136228.19999999998</v>
      </c>
      <c r="H17" s="26">
        <v>0.6</v>
      </c>
    </row>
    <row r="18" spans="2:8" x14ac:dyDescent="0.35">
      <c r="B18" s="56" t="s">
        <v>110</v>
      </c>
      <c r="C18" s="12">
        <f>D18*$F$5</f>
        <v>340570.5</v>
      </c>
      <c r="D18" s="26">
        <f>L8</f>
        <v>1.5</v>
      </c>
      <c r="F18" s="56" t="s">
        <v>125</v>
      </c>
      <c r="G18" s="12">
        <f t="shared" ref="G18:G19" si="0">H18*$F$5</f>
        <v>45409.4</v>
      </c>
      <c r="H18" s="26">
        <v>0.2</v>
      </c>
    </row>
    <row r="19" spans="2:8" x14ac:dyDescent="0.35">
      <c r="B19" s="56" t="s">
        <v>114</v>
      </c>
      <c r="C19" s="12">
        <f>D19*$F$5</f>
        <v>908188</v>
      </c>
      <c r="D19" s="26">
        <f>L10</f>
        <v>4</v>
      </c>
      <c r="F19" s="56" t="s">
        <v>190</v>
      </c>
      <c r="G19" s="12">
        <f t="shared" si="0"/>
        <v>34057.049999999996</v>
      </c>
      <c r="H19" s="26">
        <v>0.15</v>
      </c>
    </row>
    <row r="20" spans="2:8" x14ac:dyDescent="0.35">
      <c r="B20" s="56" t="s">
        <v>140</v>
      </c>
      <c r="C20" s="12">
        <f>D20*$F$5</f>
        <v>227047</v>
      </c>
      <c r="D20" s="26">
        <f>L12</f>
        <v>1</v>
      </c>
      <c r="F20" s="56" t="s">
        <v>126</v>
      </c>
      <c r="G20" s="12">
        <f>H20*$F$5</f>
        <v>40868.46</v>
      </c>
      <c r="H20" s="26">
        <v>0.18</v>
      </c>
    </row>
    <row r="21" spans="2:8" x14ac:dyDescent="0.35">
      <c r="B21" s="56" t="s">
        <v>189</v>
      </c>
      <c r="C21" s="12">
        <f>BS!E4</f>
        <v>118077</v>
      </c>
      <c r="D21" s="26">
        <f>C21/F5</f>
        <v>0.52005531894277401</v>
      </c>
      <c r="F21" s="56" t="s">
        <v>127</v>
      </c>
      <c r="G21" s="12">
        <f>H21*$F$5</f>
        <v>68114.099999999991</v>
      </c>
      <c r="H21" s="26">
        <v>0.3</v>
      </c>
    </row>
    <row r="22" spans="2:8" x14ac:dyDescent="0.35">
      <c r="B22" s="61" t="s">
        <v>128</v>
      </c>
      <c r="C22" s="62">
        <f>SUM(C16:C21)</f>
        <v>3276288.21</v>
      </c>
      <c r="D22" s="29">
        <f>SUM(D16:D21)</f>
        <v>14.43</v>
      </c>
      <c r="F22" s="61" t="s">
        <v>129</v>
      </c>
      <c r="G22" s="62">
        <f>SUM(G16:G21)</f>
        <v>3276288.21</v>
      </c>
      <c r="H22" s="29">
        <f>SUM(H16:H21)</f>
        <v>14.43</v>
      </c>
    </row>
    <row r="23" spans="2:8" x14ac:dyDescent="0.35">
      <c r="G23" s="12"/>
      <c r="H23" s="4"/>
    </row>
    <row r="26" spans="2:8" x14ac:dyDescent="0.35">
      <c r="C26" s="14">
        <v>0</v>
      </c>
      <c r="D26" s="14">
        <f>C26+1</f>
        <v>1</v>
      </c>
      <c r="E26" s="14">
        <f t="shared" ref="E26:H26" si="1">D26+1</f>
        <v>2</v>
      </c>
      <c r="F26" s="14">
        <f t="shared" si="1"/>
        <v>3</v>
      </c>
      <c r="G26" s="14">
        <f t="shared" si="1"/>
        <v>4</v>
      </c>
      <c r="H26" s="14">
        <f t="shared" si="1"/>
        <v>5</v>
      </c>
    </row>
    <row r="27" spans="2:8" x14ac:dyDescent="0.35">
      <c r="C27">
        <v>2024</v>
      </c>
      <c r="D27">
        <f>C27+1</f>
        <v>2025</v>
      </c>
      <c r="E27">
        <f t="shared" ref="E27:H27" si="2">D27+1</f>
        <v>2026</v>
      </c>
      <c r="F27">
        <f t="shared" si="2"/>
        <v>2027</v>
      </c>
      <c r="G27">
        <f t="shared" si="2"/>
        <v>2028</v>
      </c>
      <c r="H27">
        <f t="shared" si="2"/>
        <v>2029</v>
      </c>
    </row>
    <row r="28" spans="2:8" x14ac:dyDescent="0.35">
      <c r="B28" t="s">
        <v>130</v>
      </c>
      <c r="C28" s="12">
        <f>IS!F8</f>
        <v>753409</v>
      </c>
      <c r="D28" s="12">
        <f>IS!G8</f>
        <v>831817.99588949606</v>
      </c>
      <c r="E28" s="12">
        <f>IS!H8</f>
        <v>912696.2778122999</v>
      </c>
      <c r="F28" s="12">
        <f>IS!I8</f>
        <v>996595.11871872714</v>
      </c>
      <c r="G28" s="12">
        <f>IS!J8</f>
        <v>1088499.0362436036</v>
      </c>
      <c r="H28" s="12">
        <f>IS!K8</f>
        <v>1189193.8284349605</v>
      </c>
    </row>
    <row r="29" spans="2:8" x14ac:dyDescent="0.35">
      <c r="C29" s="12"/>
      <c r="D29" s="12"/>
      <c r="E29" s="12"/>
      <c r="F29" s="12"/>
      <c r="G29" s="12"/>
      <c r="H29" s="12"/>
    </row>
    <row r="30" spans="2:8" x14ac:dyDescent="0.35">
      <c r="B30" t="s">
        <v>131</v>
      </c>
      <c r="C30" s="12">
        <f>IS!F35+CFS!F5+CFS!F7</f>
        <v>227047</v>
      </c>
      <c r="D30" s="12">
        <f ca="1">IS!G35+CFS!G5+CFS!G7</f>
        <v>271772.53597116616</v>
      </c>
      <c r="E30" s="12">
        <f ca="1">IS!H35+CFS!H5+CFS!H7</f>
        <v>298113.62859531597</v>
      </c>
      <c r="F30" s="12">
        <f ca="1">IS!I35+CFS!I5+CFS!I7</f>
        <v>325455.22821183904</v>
      </c>
      <c r="G30" s="12">
        <f ca="1">IS!J35+CFS!J5+CFS!J7</f>
        <v>355433.07799035916</v>
      </c>
      <c r="H30" s="12">
        <f ca="1">IS!K35+CFS!K5+CFS!K7</f>
        <v>388304.73432986252</v>
      </c>
    </row>
    <row r="31" spans="2:8" x14ac:dyDescent="0.35">
      <c r="C31" s="2"/>
      <c r="D31" s="2">
        <f t="shared" ref="D31:H31" ca="1" si="3">D30/D28</f>
        <v>0.32672115452437284</v>
      </c>
      <c r="E31" s="2">
        <f t="shared" ca="1" si="3"/>
        <v>0.32662960926046897</v>
      </c>
      <c r="F31" s="2">
        <f t="shared" ca="1" si="3"/>
        <v>0.32656715058996144</v>
      </c>
      <c r="G31" s="2">
        <f t="shared" ca="1" si="3"/>
        <v>0.32653504151639329</v>
      </c>
      <c r="H31" s="2">
        <f t="shared" ca="1" si="3"/>
        <v>0.32652770729637176</v>
      </c>
    </row>
    <row r="32" spans="2:8" x14ac:dyDescent="0.35">
      <c r="C32" s="12"/>
      <c r="D32" s="12"/>
      <c r="E32" s="12"/>
      <c r="F32" s="12"/>
      <c r="G32" s="12"/>
      <c r="H32" s="12"/>
    </row>
    <row r="33" spans="2:8" x14ac:dyDescent="0.35">
      <c r="B33" t="s">
        <v>90</v>
      </c>
      <c r="C33" s="12"/>
      <c r="D33" s="12">
        <f ca="1">IS!G41</f>
        <v>63799.433261151455</v>
      </c>
      <c r="E33" s="12">
        <f ca="1">IS!H41</f>
        <v>106930.04117433759</v>
      </c>
      <c r="F33" s="12">
        <f ca="1">IS!I41</f>
        <v>149366.19972975846</v>
      </c>
      <c r="G33" s="12">
        <f ca="1">IS!J41</f>
        <v>179112.05300254794</v>
      </c>
      <c r="H33" s="12">
        <f ca="1">IS!K41</f>
        <v>209810.04355422151</v>
      </c>
    </row>
    <row r="34" spans="2:8" x14ac:dyDescent="0.35">
      <c r="C34" s="12"/>
      <c r="D34" s="12"/>
      <c r="E34" s="12"/>
      <c r="F34" s="12"/>
      <c r="G34" s="12"/>
      <c r="H34" s="12"/>
    </row>
    <row r="35" spans="2:8" x14ac:dyDescent="0.35">
      <c r="B35" t="s">
        <v>91</v>
      </c>
      <c r="C35" s="12"/>
      <c r="D35" s="12">
        <f ca="1">IS!G42</f>
        <v>22329.801641403006</v>
      </c>
      <c r="E35" s="12">
        <f ca="1">IS!H42</f>
        <v>37425.51441101815</v>
      </c>
      <c r="F35" s="12">
        <f ca="1">IS!I42</f>
        <v>52278.16990541546</v>
      </c>
      <c r="G35" s="12">
        <f ca="1">IS!J42</f>
        <v>62689.218550891776</v>
      </c>
      <c r="H35" s="12">
        <f ca="1">IS!K42</f>
        <v>73433.515243977527</v>
      </c>
    </row>
    <row r="36" spans="2:8" x14ac:dyDescent="0.35">
      <c r="C36" s="12"/>
      <c r="D36" s="12"/>
      <c r="E36" s="12"/>
      <c r="F36" s="12"/>
      <c r="G36" s="12"/>
      <c r="H36" s="12"/>
    </row>
    <row r="37" spans="2:8" x14ac:dyDescent="0.35">
      <c r="B37" t="s">
        <v>113</v>
      </c>
      <c r="C37" s="12"/>
      <c r="D37" s="12">
        <f>NWC!E27</f>
        <v>-78518</v>
      </c>
      <c r="E37" s="12">
        <f>NWC!F27</f>
        <v>-30013.852024502587</v>
      </c>
      <c r="F37" s="12">
        <f>NWC!G27</f>
        <v>-8211.1487653512741</v>
      </c>
      <c r="G37" s="12">
        <f>NWC!H27</f>
        <v>-20717.969091736362</v>
      </c>
      <c r="H37" s="12">
        <f>NWC!I27</f>
        <v>-11870.321174783458</v>
      </c>
    </row>
    <row r="38" spans="2:8" x14ac:dyDescent="0.35">
      <c r="C38" s="12"/>
      <c r="D38" s="12"/>
      <c r="E38" s="12"/>
      <c r="F38" s="12"/>
      <c r="G38" s="12"/>
      <c r="H38" s="12"/>
    </row>
    <row r="39" spans="2:8" x14ac:dyDescent="0.35">
      <c r="B39" t="s">
        <v>115</v>
      </c>
      <c r="C39" s="12"/>
      <c r="D39" s="12">
        <f>-('Fixed asset schedule'!H16+'Fixed asset schedule'!H4)</f>
        <v>-45777.259147277662</v>
      </c>
      <c r="E39" s="12">
        <f>-('Fixed asset schedule'!I16+'Fixed asset schedule'!I4)</f>
        <v>-49638.353537700365</v>
      </c>
      <c r="F39" s="12">
        <f>-('Fixed asset schedule'!J16+'Fixed asset schedule'!J4)</f>
        <v>-53658.459674676109</v>
      </c>
      <c r="G39" s="12">
        <f>-('Fixed asset schedule'!K16+'Fixed asset schedule'!K4)</f>
        <v>-58086.45478485879</v>
      </c>
      <c r="H39" s="12">
        <f>-('Fixed asset schedule'!L16+'Fixed asset schedule'!L4)</f>
        <v>-62961.295341446232</v>
      </c>
    </row>
    <row r="40" spans="2:8" x14ac:dyDescent="0.35">
      <c r="C40" s="12"/>
      <c r="D40" s="12"/>
      <c r="E40" s="12"/>
      <c r="F40" s="12"/>
      <c r="G40" s="12"/>
      <c r="H40" s="12"/>
    </row>
    <row r="41" spans="2:8" x14ac:dyDescent="0.35">
      <c r="C41" s="12"/>
      <c r="D41" s="12"/>
      <c r="E41" s="12"/>
      <c r="F41" s="12"/>
      <c r="G41" s="12"/>
      <c r="H41" s="12"/>
    </row>
    <row r="42" spans="2:8" x14ac:dyDescent="0.35">
      <c r="B42" t="s">
        <v>147</v>
      </c>
      <c r="D42" s="12">
        <f ca="1">'Debt Schedule'!C45</f>
        <v>39040.430721145138</v>
      </c>
      <c r="E42" s="12">
        <f ca="1">'Debt Schedule'!D45</f>
        <v>37951.809435587653</v>
      </c>
      <c r="F42" s="12">
        <f ca="1">'Debt Schedule'!E45</f>
        <v>37129.850246542752</v>
      </c>
      <c r="G42" s="12">
        <f ca="1">'Debt Schedule'!F45</f>
        <v>36218.486655421962</v>
      </c>
      <c r="H42" s="12">
        <f ca="1">'Debt Schedule'!G45</f>
        <v>35283.395743000016</v>
      </c>
    </row>
    <row r="43" spans="2:8" x14ac:dyDescent="0.35">
      <c r="C43" s="12"/>
      <c r="D43" s="12"/>
      <c r="E43" s="12"/>
      <c r="F43" s="12"/>
      <c r="G43" s="12"/>
      <c r="H43" s="12"/>
    </row>
    <row r="44" spans="2:8" x14ac:dyDescent="0.35">
      <c r="C44" s="12"/>
      <c r="D44" s="12"/>
      <c r="E44" s="12"/>
      <c r="F44" s="12"/>
      <c r="G44" s="12"/>
      <c r="H44" s="12"/>
    </row>
    <row r="45" spans="2:8" x14ac:dyDescent="0.35">
      <c r="B45" s="15" t="s">
        <v>132</v>
      </c>
      <c r="C45" s="16"/>
      <c r="D45" s="16">
        <f ca="1">D30-D35-D37+D39-D42</f>
        <v>243143.04446134035</v>
      </c>
      <c r="E45" s="16">
        <f t="shared" ref="E45:H45" ca="1" si="4">E30-E35-E37+E39-E42</f>
        <v>203111.8032355124</v>
      </c>
      <c r="F45" s="16">
        <f t="shared" ca="1" si="4"/>
        <v>190599.897150556</v>
      </c>
      <c r="G45" s="16">
        <f t="shared" ca="1" si="4"/>
        <v>219156.88709092297</v>
      </c>
      <c r="H45" s="17">
        <f t="shared" ca="1" si="4"/>
        <v>228496.84917622217</v>
      </c>
    </row>
    <row r="46" spans="2:8" x14ac:dyDescent="0.35">
      <c r="C46" s="12"/>
      <c r="D46" s="12"/>
      <c r="E46" s="12"/>
      <c r="F46" s="12"/>
      <c r="G46" s="12"/>
      <c r="H46" s="12"/>
    </row>
    <row r="48" spans="2:8" x14ac:dyDescent="0.35">
      <c r="B48" t="s">
        <v>105</v>
      </c>
      <c r="H48" s="12">
        <f ca="1">H30</f>
        <v>388304.73432986252</v>
      </c>
    </row>
    <row r="49" spans="2:15" x14ac:dyDescent="0.35">
      <c r="B49" t="s">
        <v>175</v>
      </c>
      <c r="H49" s="12">
        <f ca="1">H48*F7</f>
        <v>5047961.5462882128</v>
      </c>
    </row>
    <row r="50" spans="2:15" x14ac:dyDescent="0.35">
      <c r="B50" t="s">
        <v>176</v>
      </c>
      <c r="H50" s="12">
        <f ca="1">'Debt Schedule'!G13+'Debt Schedule'!G21+'Debt Schedule'!G32</f>
        <v>356570.84378617274</v>
      </c>
    </row>
    <row r="51" spans="2:15" x14ac:dyDescent="0.35">
      <c r="B51" t="s">
        <v>177</v>
      </c>
      <c r="H51" s="12">
        <f ca="1">CFS!K38</f>
        <v>66468.495390047319</v>
      </c>
    </row>
    <row r="52" spans="2:15" x14ac:dyDescent="0.35">
      <c r="B52" t="s">
        <v>178</v>
      </c>
      <c r="H52" s="12">
        <f ca="1">H49-H50+H51</f>
        <v>4757859.1978920875</v>
      </c>
    </row>
    <row r="54" spans="2:15" x14ac:dyDescent="0.35">
      <c r="B54" s="18" t="s">
        <v>180</v>
      </c>
      <c r="C54" s="9"/>
      <c r="D54" s="9"/>
      <c r="E54" s="9"/>
      <c r="F54" s="9"/>
      <c r="G54" s="9"/>
      <c r="H54" s="24">
        <f ca="1">H52/C16</f>
        <v>2.947335641478114</v>
      </c>
    </row>
    <row r="55" spans="2:15" x14ac:dyDescent="0.35">
      <c r="B55" s="19" t="s">
        <v>179</v>
      </c>
      <c r="C55" s="10"/>
      <c r="D55" s="10"/>
      <c r="E55" s="10"/>
      <c r="F55" s="10"/>
      <c r="G55" s="10"/>
      <c r="H55" s="11">
        <f ca="1">(H54)^(1/5)-1</f>
        <v>0.24132619224423379</v>
      </c>
    </row>
    <row r="58" spans="2:15" ht="18.5" x14ac:dyDescent="0.45">
      <c r="B58" s="21" t="s">
        <v>186</v>
      </c>
    </row>
    <row r="59" spans="2:15" x14ac:dyDescent="0.35">
      <c r="B59" s="1" t="s">
        <v>195</v>
      </c>
      <c r="C59" s="1"/>
      <c r="D59" s="1"/>
      <c r="E59" s="1"/>
      <c r="F59" s="1"/>
      <c r="G59" s="1"/>
      <c r="H59" s="1"/>
      <c r="I59" s="1"/>
      <c r="J59" s="1" t="s">
        <v>192</v>
      </c>
    </row>
    <row r="60" spans="2:15" ht="15" thickBot="1" x14ac:dyDescent="0.4"/>
    <row r="61" spans="2:15" x14ac:dyDescent="0.35">
      <c r="B61" s="30">
        <f ca="1">H54</f>
        <v>2.947335641478114</v>
      </c>
      <c r="C61" s="31">
        <v>11</v>
      </c>
      <c r="D61" s="31">
        <v>12</v>
      </c>
      <c r="E61" s="31">
        <v>13</v>
      </c>
      <c r="F61" s="31">
        <v>14</v>
      </c>
      <c r="G61" s="32">
        <v>15</v>
      </c>
      <c r="J61" s="30">
        <f ca="1">H55</f>
        <v>0.24132619224423379</v>
      </c>
      <c r="K61" s="31">
        <v>0.5</v>
      </c>
      <c r="L61" s="31">
        <v>1</v>
      </c>
      <c r="M61" s="31">
        <v>1.5</v>
      </c>
      <c r="N61" s="31">
        <v>2</v>
      </c>
      <c r="O61" s="32">
        <v>2.5</v>
      </c>
    </row>
    <row r="62" spans="2:15" x14ac:dyDescent="0.35">
      <c r="B62" s="33">
        <v>11</v>
      </c>
      <c r="C62" s="4">
        <f t="dataTable" ref="C62:G66" dt2D="1" dtr="1" r1="F6" r2="F7" ca="1"/>
        <v>3.4315272630430402</v>
      </c>
      <c r="D62" s="4">
        <v>2.8698974215025976</v>
      </c>
      <c r="E62" s="4">
        <v>2.46625188693905</v>
      </c>
      <c r="F62" s="4">
        <v>2.1621497032706967</v>
      </c>
      <c r="G62" s="35">
        <v>1.9248102046273554</v>
      </c>
      <c r="J62" s="33">
        <v>3.9999999999999994E-2</v>
      </c>
      <c r="K62" s="2">
        <f t="dataTable" ref="K62:O66" dt2D="1" dtr="1" r1="L8" r2="J8" ca="1"/>
        <v>0.21295973917494493</v>
      </c>
      <c r="L62" s="2">
        <v>0.22723042430838092</v>
      </c>
      <c r="M62" s="2">
        <v>0.24155945063293705</v>
      </c>
      <c r="N62" s="2">
        <v>0.2548115961936579</v>
      </c>
      <c r="O62" s="38">
        <v>0.26829768994715542</v>
      </c>
    </row>
    <row r="63" spans="2:15" x14ac:dyDescent="0.35">
      <c r="B63" s="33">
        <v>12</v>
      </c>
      <c r="C63" s="4">
        <v>3.7662157083414778</v>
      </c>
      <c r="D63" s="22">
        <v>3.1498082112297698</v>
      </c>
      <c r="E63" s="23">
        <v>2.7067937642085864</v>
      </c>
      <c r="F63" s="24">
        <v>2.3730314673422508</v>
      </c>
      <c r="G63" s="35">
        <v>2.1125434456886598</v>
      </c>
      <c r="J63" s="33">
        <v>4.9999999999999996E-2</v>
      </c>
      <c r="K63" s="2">
        <v>0.21295982818037995</v>
      </c>
      <c r="L63" s="39">
        <v>0.22717431285165657</v>
      </c>
      <c r="M63" s="40">
        <v>0.24144423586859154</v>
      </c>
      <c r="N63" s="41">
        <v>0.25439437798903231</v>
      </c>
      <c r="O63" s="38">
        <v>0.26769863068500688</v>
      </c>
    </row>
    <row r="64" spans="2:15" x14ac:dyDescent="0.35">
      <c r="B64" s="33">
        <v>13</v>
      </c>
      <c r="C64" s="4">
        <v>4.1009041536399149</v>
      </c>
      <c r="D64" s="25">
        <v>3.4297190009569416</v>
      </c>
      <c r="E64" s="4">
        <v>2.9473356414781229</v>
      </c>
      <c r="F64" s="26">
        <v>2.5839132314138045</v>
      </c>
      <c r="G64" s="35">
        <v>2.3002766867499638</v>
      </c>
      <c r="J64" s="33">
        <v>0.06</v>
      </c>
      <c r="K64" s="2">
        <v>0.21295991718578877</v>
      </c>
      <c r="L64" s="42">
        <v>0.22710951685089209</v>
      </c>
      <c r="M64" s="2">
        <v>0.24132619224424512</v>
      </c>
      <c r="N64" s="43">
        <v>0.25396399257943836</v>
      </c>
      <c r="O64" s="38">
        <v>0.267081026508591</v>
      </c>
    </row>
    <row r="65" spans="2:15" x14ac:dyDescent="0.35">
      <c r="B65" s="33">
        <v>14</v>
      </c>
      <c r="C65" s="4">
        <v>4.435592598938352</v>
      </c>
      <c r="D65" s="27">
        <v>3.7096297906841134</v>
      </c>
      <c r="E65" s="28">
        <v>3.1878775187476598</v>
      </c>
      <c r="F65" s="29">
        <v>2.7947949954853581</v>
      </c>
      <c r="G65" s="35">
        <v>2.4880099278112677</v>
      </c>
      <c r="J65" s="33">
        <v>6.9999999999999993E-2</v>
      </c>
      <c r="K65" s="2">
        <v>0.21296000619117139</v>
      </c>
      <c r="L65" s="44">
        <v>0.22704212004961688</v>
      </c>
      <c r="M65" s="45">
        <v>0.24120525364793433</v>
      </c>
      <c r="N65" s="46">
        <v>0.25352003360361852</v>
      </c>
      <c r="O65" s="38">
        <v>0.26644429068797049</v>
      </c>
    </row>
    <row r="66" spans="2:15" ht="15" thickBot="1" x14ac:dyDescent="0.4">
      <c r="B66" s="34">
        <v>15</v>
      </c>
      <c r="C66" s="36">
        <v>4.7702810442367891</v>
      </c>
      <c r="D66" s="36">
        <v>3.9895405804112851</v>
      </c>
      <c r="E66" s="36">
        <v>3.4284193960171963</v>
      </c>
      <c r="F66" s="36">
        <v>3.0056767595569118</v>
      </c>
      <c r="G66" s="37">
        <v>2.6757431688725721</v>
      </c>
      <c r="J66" s="34">
        <v>7.9999999999999988E-2</v>
      </c>
      <c r="K66" s="47">
        <v>0.21296009519652803</v>
      </c>
      <c r="L66" s="47">
        <v>0.22697205945072341</v>
      </c>
      <c r="M66" s="47">
        <v>0.24108135233029215</v>
      </c>
      <c r="N66" s="47">
        <v>0.25306208084565451</v>
      </c>
      <c r="O66" s="48">
        <v>0.26578781526992379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F614-F79F-4B3E-9CF5-46E8FF0A3BE4}">
  <dimension ref="B2:G49"/>
  <sheetViews>
    <sheetView showGridLines="0" zoomScale="58" workbookViewId="0">
      <selection activeCell="C38" sqref="C38"/>
    </sheetView>
  </sheetViews>
  <sheetFormatPr defaultRowHeight="14.5" x14ac:dyDescent="0.35"/>
  <cols>
    <col min="1" max="1" width="8.7265625" style="12"/>
    <col min="2" max="2" width="20.453125" style="12" bestFit="1" customWidth="1"/>
    <col min="3" max="3" width="26.08984375" style="12" bestFit="1" customWidth="1"/>
    <col min="4" max="4" width="15.1796875" style="12" customWidth="1"/>
    <col min="5" max="5" width="12.08984375" style="12" customWidth="1"/>
    <col min="6" max="6" width="12.6328125" style="12" customWidth="1"/>
    <col min="7" max="7" width="36.1796875" style="12" bestFit="1" customWidth="1"/>
    <col min="8" max="16384" width="8.7265625" style="12"/>
  </cols>
  <sheetData>
    <row r="2" spans="2:7" x14ac:dyDescent="0.35">
      <c r="C2" s="14">
        <v>2025</v>
      </c>
      <c r="D2" s="14">
        <f>C2+1</f>
        <v>2026</v>
      </c>
      <c r="E2" s="14">
        <f>D2+1</f>
        <v>2027</v>
      </c>
      <c r="F2" s="14">
        <f>E2+1</f>
        <v>2028</v>
      </c>
      <c r="G2" s="14">
        <f>F2+1</f>
        <v>2029</v>
      </c>
    </row>
    <row r="3" spans="2:7" x14ac:dyDescent="0.35">
      <c r="B3" s="49" t="s">
        <v>132</v>
      </c>
      <c r="C3" s="12">
        <f ca="1">LBO!D45</f>
        <v>243143.04446134035</v>
      </c>
      <c r="D3" s="12">
        <f ca="1">LBO!E45</f>
        <v>203111.8032355124</v>
      </c>
      <c r="E3" s="12">
        <f ca="1">LBO!F45</f>
        <v>190599.897150556</v>
      </c>
      <c r="F3" s="12">
        <f ca="1">LBO!G45</f>
        <v>219156.88709092297</v>
      </c>
      <c r="G3" s="12">
        <f ca="1">LBO!H45</f>
        <v>228496.8491762222</v>
      </c>
    </row>
    <row r="4" spans="2:7" x14ac:dyDescent="0.35">
      <c r="B4" s="12" t="s">
        <v>134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</row>
    <row r="5" spans="2:7" x14ac:dyDescent="0.35">
      <c r="B5" t="s">
        <v>196</v>
      </c>
      <c r="C5" s="12">
        <f>IF(C18&gt;0, $C$18*LBO!$K$8, 0)</f>
        <v>17028.525000000001</v>
      </c>
      <c r="D5" s="12">
        <f ca="1">IF(D18&gt;0, $C$18*LBO!$K$8, 0)</f>
        <v>17028.525000000001</v>
      </c>
      <c r="E5" s="12">
        <f ca="1">IF(E18&gt;0, $C$18*LBO!$K$8, 0)</f>
        <v>17028.525000000001</v>
      </c>
      <c r="F5" s="12">
        <f ca="1">IF(F18&gt;0, $C$18*LBO!$K$8, 0)</f>
        <v>17028.525000000001</v>
      </c>
      <c r="G5" s="12">
        <f ca="1">IF(G18&gt;0, $C$18*LBO!$K$8, 0)</f>
        <v>17028.525000000001</v>
      </c>
    </row>
    <row r="6" spans="2:7" x14ac:dyDescent="0.35">
      <c r="B6" s="12" t="s">
        <v>135</v>
      </c>
      <c r="C6" s="12">
        <f ca="1">C3-C4-C5</f>
        <v>226114.51946134036</v>
      </c>
      <c r="D6" s="12">
        <f ca="1">D3-D4-D5</f>
        <v>186083.27823551241</v>
      </c>
      <c r="E6" s="12">
        <f ca="1">E3-E4-E5</f>
        <v>173571.37215055601</v>
      </c>
      <c r="F6" s="12">
        <f ca="1">F3-F4-F5</f>
        <v>202128.36209092298</v>
      </c>
      <c r="G6" s="12">
        <f ca="1">G3-G4-G5</f>
        <v>211468.3241762222</v>
      </c>
    </row>
    <row r="9" spans="2:7" x14ac:dyDescent="0.35">
      <c r="B9" s="14" t="s">
        <v>136</v>
      </c>
      <c r="C9" s="14"/>
      <c r="D9" s="14"/>
      <c r="E9" s="14"/>
      <c r="F9" s="14"/>
      <c r="G9" s="14"/>
    </row>
    <row r="10" spans="2:7" x14ac:dyDescent="0.35">
      <c r="B10" s="12" t="s">
        <v>133</v>
      </c>
      <c r="C10" s="12">
        <v>0</v>
      </c>
      <c r="D10" s="12">
        <f ca="1">C13</f>
        <v>0</v>
      </c>
      <c r="E10" s="12">
        <f ca="1">D13</f>
        <v>0</v>
      </c>
      <c r="F10" s="12">
        <f ca="1">E13</f>
        <v>0</v>
      </c>
      <c r="G10" s="12">
        <f ca="1">F13</f>
        <v>0</v>
      </c>
    </row>
    <row r="11" spans="2:7" x14ac:dyDescent="0.35">
      <c r="B11" s="12" t="s">
        <v>137</v>
      </c>
      <c r="C11" s="12">
        <f ca="1">MAX(-C6,0)</f>
        <v>0</v>
      </c>
      <c r="D11" s="12">
        <f ca="1">MAX(-D6,0)</f>
        <v>0</v>
      </c>
      <c r="E11" s="12">
        <f ca="1">MAX(-E6,0)</f>
        <v>0</v>
      </c>
      <c r="F11" s="12">
        <f ca="1">MAX(-F6,0)</f>
        <v>0</v>
      </c>
      <c r="G11" s="12">
        <f ca="1">MAX(-G6,0)</f>
        <v>0</v>
      </c>
    </row>
    <row r="12" spans="2:7" x14ac:dyDescent="0.35">
      <c r="B12" s="12" t="s">
        <v>138</v>
      </c>
      <c r="C12" s="12">
        <f ca="1">MIN(C10, MAX(0, C3-C4-C5))</f>
        <v>0</v>
      </c>
      <c r="D12" s="12">
        <f t="shared" ref="D12:G12" ca="1" si="0">MIN(D10, MAX(0, D3-D4-D5))</f>
        <v>0</v>
      </c>
      <c r="E12" s="12">
        <f t="shared" ca="1" si="0"/>
        <v>0</v>
      </c>
      <c r="F12" s="12">
        <f t="shared" ca="1" si="0"/>
        <v>0</v>
      </c>
      <c r="G12" s="12">
        <f t="shared" ca="1" si="0"/>
        <v>0</v>
      </c>
    </row>
    <row r="13" spans="2:7" x14ac:dyDescent="0.35">
      <c r="B13" s="12" t="s">
        <v>96</v>
      </c>
      <c r="C13" s="12">
        <f ca="1">C10+C11-C12</f>
        <v>0</v>
      </c>
      <c r="D13" s="12">
        <f ca="1">D10+D11-D12</f>
        <v>0</v>
      </c>
      <c r="E13" s="12">
        <f ca="1">E10+E11-E12</f>
        <v>0</v>
      </c>
      <c r="F13" s="12">
        <f ca="1">F10+F11-F12</f>
        <v>0</v>
      </c>
      <c r="G13" s="12">
        <f ca="1">G10+G11-G12</f>
        <v>0</v>
      </c>
    </row>
    <row r="15" spans="2:7" x14ac:dyDescent="0.35">
      <c r="B15" s="12" t="s">
        <v>150</v>
      </c>
      <c r="C15" s="12">
        <f ca="1">LBO!$I$6-'Debt Schedule'!C13</f>
        <v>50000</v>
      </c>
      <c r="D15" s="12">
        <f ca="1">LBO!$I$6-'Debt Schedule'!D13</f>
        <v>50000</v>
      </c>
      <c r="E15" s="12">
        <f ca="1">LBO!$I$6-'Debt Schedule'!E13</f>
        <v>50000</v>
      </c>
      <c r="F15" s="12">
        <f ca="1">LBO!$I$6-'Debt Schedule'!F13</f>
        <v>50000</v>
      </c>
      <c r="G15" s="12">
        <f ca="1">LBO!$I$6-'Debt Schedule'!G13</f>
        <v>50000</v>
      </c>
    </row>
    <row r="17" spans="2:7" x14ac:dyDescent="0.35">
      <c r="B17" s="14" t="s">
        <v>110</v>
      </c>
      <c r="C17" s="14"/>
      <c r="D17" s="14"/>
      <c r="E17" s="14"/>
      <c r="F17" s="14"/>
      <c r="G17" s="14"/>
    </row>
    <row r="18" spans="2:7" x14ac:dyDescent="0.35">
      <c r="B18" s="12" t="s">
        <v>133</v>
      </c>
      <c r="C18" s="12">
        <f>LBO!C18</f>
        <v>340570.5</v>
      </c>
      <c r="D18" s="12">
        <f ca="1">C21</f>
        <v>266256.75915667997</v>
      </c>
      <c r="E18" s="12">
        <f ca="1">D21</f>
        <v>210403.46566119185</v>
      </c>
      <c r="F18" s="12">
        <f ca="1">E21</f>
        <v>159631.89779526071</v>
      </c>
      <c r="G18" s="12">
        <f ca="1">F21</f>
        <v>93279.886971859698</v>
      </c>
    </row>
    <row r="19" spans="2:7" x14ac:dyDescent="0.35">
      <c r="B19" s="12" t="str">
        <f t="shared" ref="B19:G19" si="1">B5</f>
        <v xml:space="preserve">  Amortization</v>
      </c>
      <c r="C19" s="12">
        <f t="shared" si="1"/>
        <v>17028.525000000001</v>
      </c>
      <c r="D19" s="12">
        <f t="shared" ca="1" si="1"/>
        <v>17028.525000000001</v>
      </c>
      <c r="E19" s="12">
        <f t="shared" ca="1" si="1"/>
        <v>17028.525000000001</v>
      </c>
      <c r="F19" s="12">
        <f t="shared" ca="1" si="1"/>
        <v>17028.525000000001</v>
      </c>
      <c r="G19" s="12">
        <f t="shared" ca="1" si="1"/>
        <v>17028.525000000001</v>
      </c>
    </row>
    <row r="20" spans="2:7" x14ac:dyDescent="0.35">
      <c r="B20" s="12" t="s">
        <v>139</v>
      </c>
      <c r="C20" s="12">
        <f ca="1">MIN(C18-C19, MAX(0, C3 - C4 - C19 - C10 + C12 - C43)) * 50%</f>
        <v>57285.21584331998</v>
      </c>
      <c r="D20" s="12">
        <f t="shared" ref="D20:G20" ca="1" si="2">MIN(D18-D19, MAX(0, D3 - D4 - D19 - D10 + D12 - D43)) * 50%</f>
        <v>38824.768495488126</v>
      </c>
      <c r="E20" s="12">
        <f t="shared" ca="1" si="2"/>
        <v>33743.042865931217</v>
      </c>
      <c r="F20" s="12">
        <f t="shared" ca="1" si="2"/>
        <v>49323.485823429612</v>
      </c>
      <c r="G20" s="12">
        <f t="shared" ca="1" si="2"/>
        <v>38125.680985929852</v>
      </c>
    </row>
    <row r="21" spans="2:7" x14ac:dyDescent="0.35">
      <c r="B21" s="12" t="s">
        <v>96</v>
      </c>
      <c r="C21" s="12">
        <f ca="1">C18-C19-C20</f>
        <v>266256.75915667997</v>
      </c>
      <c r="D21" s="12">
        <f ca="1">D18-D19-D20</f>
        <v>210403.46566119185</v>
      </c>
      <c r="E21" s="12">
        <f ca="1">E18-E19-E20</f>
        <v>159631.89779526065</v>
      </c>
      <c r="F21" s="12">
        <f ca="1">F18-F19-F20</f>
        <v>93279.886971831103</v>
      </c>
      <c r="G21" s="12">
        <f ca="1">G18-G19-G20</f>
        <v>38125.680985929852</v>
      </c>
    </row>
    <row r="23" spans="2:7" x14ac:dyDescent="0.35">
      <c r="B23" s="14" t="s">
        <v>114</v>
      </c>
      <c r="C23" s="14"/>
      <c r="D23" s="14"/>
      <c r="E23" s="14"/>
      <c r="F23" s="14"/>
      <c r="G23" s="14"/>
    </row>
    <row r="24" spans="2:7" x14ac:dyDescent="0.35">
      <c r="B24" s="12" t="s">
        <v>133</v>
      </c>
      <c r="C24" s="12">
        <f>LBO!$C$19</f>
        <v>908188</v>
      </c>
      <c r="D24" s="12">
        <f>C26</f>
        <v>908188</v>
      </c>
      <c r="E24" s="12">
        <f t="shared" ref="E24:G24" si="3">D26</f>
        <v>908188</v>
      </c>
      <c r="F24" s="12">
        <f t="shared" si="3"/>
        <v>908188</v>
      </c>
      <c r="G24" s="12">
        <f t="shared" si="3"/>
        <v>908188</v>
      </c>
    </row>
    <row r="25" spans="2:7" x14ac:dyDescent="0.35">
      <c r="B25" s="12" t="s">
        <v>138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</row>
    <row r="26" spans="2:7" x14ac:dyDescent="0.35">
      <c r="B26" s="12" t="s">
        <v>96</v>
      </c>
      <c r="C26" s="12">
        <f>C24-C25</f>
        <v>908188</v>
      </c>
      <c r="D26" s="12">
        <f t="shared" ref="D26:G26" si="4">D24-D25</f>
        <v>908188</v>
      </c>
      <c r="E26" s="12">
        <f t="shared" si="4"/>
        <v>908188</v>
      </c>
      <c r="F26" s="12">
        <f t="shared" si="4"/>
        <v>908188</v>
      </c>
      <c r="G26" s="12">
        <f t="shared" si="4"/>
        <v>908188</v>
      </c>
    </row>
    <row r="28" spans="2:7" x14ac:dyDescent="0.35">
      <c r="B28" s="14" t="s">
        <v>140</v>
      </c>
      <c r="C28" s="14"/>
      <c r="D28" s="14"/>
      <c r="E28" s="14"/>
      <c r="F28" s="14"/>
      <c r="G28" s="14"/>
    </row>
    <row r="29" spans="2:7" x14ac:dyDescent="0.35">
      <c r="B29" s="12" t="s">
        <v>133</v>
      </c>
      <c r="C29" s="12">
        <f>LBO!C20</f>
        <v>227047</v>
      </c>
      <c r="D29" s="12">
        <f>C32</f>
        <v>242940.29</v>
      </c>
      <c r="E29" s="12">
        <f>D32</f>
        <v>259946.1103</v>
      </c>
      <c r="F29" s="12">
        <f>E32</f>
        <v>278142.33802100003</v>
      </c>
      <c r="G29" s="12">
        <f>F32</f>
        <v>297612.30168247002</v>
      </c>
    </row>
    <row r="30" spans="2:7" x14ac:dyDescent="0.35">
      <c r="B30" s="12" t="s">
        <v>141</v>
      </c>
      <c r="C30" s="12">
        <f>C41</f>
        <v>15893.29</v>
      </c>
      <c r="D30" s="12">
        <f>D41</f>
        <v>17005.820300000003</v>
      </c>
      <c r="E30" s="12">
        <f>E41</f>
        <v>18196.227721000003</v>
      </c>
      <c r="F30" s="12">
        <f>F41</f>
        <v>19469.963661470003</v>
      </c>
      <c r="G30" s="12">
        <f>G41</f>
        <v>20832.861117772904</v>
      </c>
    </row>
    <row r="31" spans="2:7" x14ac:dyDescent="0.35">
      <c r="B31" s="12" t="s">
        <v>138</v>
      </c>
      <c r="G31" s="12">
        <f ca="1">MIN(G29+G30, MAX(0, G6+G11-G12-G19-G20-G25-SUM(G36:G40)-G43))</f>
        <v>0</v>
      </c>
    </row>
    <row r="32" spans="2:7" x14ac:dyDescent="0.35">
      <c r="B32" s="12" t="s">
        <v>96</v>
      </c>
      <c r="C32" s="12">
        <f>C29+C30-C31</f>
        <v>242940.29</v>
      </c>
      <c r="D32" s="12">
        <f>D29+D30-D31</f>
        <v>259946.1103</v>
      </c>
      <c r="E32" s="12">
        <f>E29+E30-E31</f>
        <v>278142.33802100003</v>
      </c>
      <c r="F32" s="12">
        <f>F29+F30-F31</f>
        <v>297612.30168247002</v>
      </c>
      <c r="G32" s="12">
        <f ca="1">G29+G30-G31</f>
        <v>318445.16280024289</v>
      </c>
    </row>
    <row r="35" spans="2:7" x14ac:dyDescent="0.35">
      <c r="B35" s="14" t="s">
        <v>2</v>
      </c>
    </row>
    <row r="36" spans="2:7" x14ac:dyDescent="0.35">
      <c r="B36" s="12" t="s">
        <v>142</v>
      </c>
      <c r="C36" s="12">
        <f ca="1">C13*LBO!$J$6+'Debt Schedule'!C15*LBO!$K$6</f>
        <v>250</v>
      </c>
      <c r="D36" s="12">
        <f ca="1">D13*LBO!$J$6+'Debt Schedule'!D15*LBO!$K$6</f>
        <v>250</v>
      </c>
      <c r="E36" s="12">
        <f ca="1">E13*LBO!$J$6+'Debt Schedule'!E15*LBO!$K$6</f>
        <v>250</v>
      </c>
      <c r="F36" s="12">
        <f ca="1">F13*LBO!$J$6+'Debt Schedule'!F15*LBO!$K$6</f>
        <v>250</v>
      </c>
      <c r="G36" s="12">
        <f ca="1">G13*LBO!$J$6+'Debt Schedule'!G15*LBO!$K$6</f>
        <v>250</v>
      </c>
    </row>
    <row r="37" spans="2:7" x14ac:dyDescent="0.35">
      <c r="B37" s="12" t="s">
        <v>143</v>
      </c>
      <c r="C37" s="12">
        <f ca="1">((C18+C21)/2)*LBO!$J$8</f>
        <v>18204.817774700397</v>
      </c>
      <c r="D37" s="12">
        <f ca="1">((D18+D21)/2)*LBO!$J$8</f>
        <v>14299.806744536154</v>
      </c>
      <c r="E37" s="12">
        <f ca="1">((E18+E21)/2)*LBO!$J$8</f>
        <v>11101.060903693575</v>
      </c>
      <c r="F37" s="12">
        <f ca="1">((F18+F21)/2)*LBO!$J$8</f>
        <v>7587.353543012754</v>
      </c>
      <c r="G37" s="12">
        <f ca="1">((G18+G21)/2)*LBO!$J$8</f>
        <v>3942.1670387336862</v>
      </c>
    </row>
    <row r="38" spans="2:7" x14ac:dyDescent="0.35">
      <c r="B38" s="12" t="s">
        <v>197</v>
      </c>
      <c r="C38" s="12">
        <f>C24*LBO!$J$10</f>
        <v>81736.92</v>
      </c>
      <c r="D38" s="12">
        <f>D24*LBO!$J$10</f>
        <v>81736.92</v>
      </c>
      <c r="E38" s="12">
        <f>E24*LBO!$J$10</f>
        <v>81736.92</v>
      </c>
      <c r="F38" s="12">
        <f>F24*LBO!$J$10</f>
        <v>81736.92</v>
      </c>
      <c r="G38" s="12">
        <f>G24*LBO!$J$10</f>
        <v>81736.92</v>
      </c>
    </row>
    <row r="39" spans="2:7" x14ac:dyDescent="0.35">
      <c r="B39" s="12" t="s">
        <v>144</v>
      </c>
    </row>
    <row r="40" spans="2:7" x14ac:dyDescent="0.35">
      <c r="B40" s="12" t="s">
        <v>145</v>
      </c>
      <c r="C40" s="12">
        <f>C29*LBO!$J$12</f>
        <v>11352.35</v>
      </c>
      <c r="D40" s="12">
        <f>D29*LBO!$J$12</f>
        <v>12147.014500000001</v>
      </c>
      <c r="E40" s="12">
        <f>E29*LBO!$J$12</f>
        <v>12997.305515</v>
      </c>
      <c r="F40" s="12">
        <f>F29*LBO!$J$12</f>
        <v>13907.116901050002</v>
      </c>
      <c r="G40" s="12">
        <f>G29*LBO!$J$12</f>
        <v>14880.615084123501</v>
      </c>
    </row>
    <row r="41" spans="2:7" x14ac:dyDescent="0.35">
      <c r="B41" s="12" t="s">
        <v>146</v>
      </c>
      <c r="C41" s="12">
        <f>C29*LBO!$K$12</f>
        <v>15893.29</v>
      </c>
      <c r="D41" s="12">
        <f>D29*LBO!$K$12</f>
        <v>17005.820300000003</v>
      </c>
      <c r="E41" s="12">
        <f>E29*LBO!$K$12</f>
        <v>18196.227721000003</v>
      </c>
      <c r="F41" s="12">
        <f>F29*LBO!$K$12</f>
        <v>19469.963661470003</v>
      </c>
      <c r="G41" s="12">
        <f>G29*LBO!$K$12</f>
        <v>20832.861117772904</v>
      </c>
    </row>
    <row r="43" spans="2:7" x14ac:dyDescent="0.35">
      <c r="B43" s="50" t="s">
        <v>149</v>
      </c>
      <c r="C43" s="16">
        <f ca="1">SUM(C36:C40)</f>
        <v>111544.0877747004</v>
      </c>
      <c r="D43" s="16">
        <f t="shared" ref="D43:G43" ca="1" si="5">SUM(D36:D40)</f>
        <v>108433.74124453616</v>
      </c>
      <c r="E43" s="16">
        <f t="shared" ca="1" si="5"/>
        <v>106085.28641869358</v>
      </c>
      <c r="F43" s="16">
        <f t="shared" ca="1" si="5"/>
        <v>103481.39044406275</v>
      </c>
      <c r="G43" s="17">
        <f t="shared" ca="1" si="5"/>
        <v>100809.7021228572</v>
      </c>
    </row>
    <row r="45" spans="2:7" x14ac:dyDescent="0.35">
      <c r="B45" s="12" t="s">
        <v>147</v>
      </c>
      <c r="C45" s="12">
        <f ca="1">C43*(IS!$G$43)</f>
        <v>39040.430721145138</v>
      </c>
      <c r="D45" s="12">
        <f ca="1">D43*(IS!$G$43)</f>
        <v>37951.809435587653</v>
      </c>
      <c r="E45" s="12">
        <f ca="1">E43*(IS!$G$43)</f>
        <v>37129.850246542752</v>
      </c>
      <c r="F45" s="12">
        <f ca="1">F43*(IS!$G$43)</f>
        <v>36218.486655421962</v>
      </c>
      <c r="G45" s="12">
        <f ca="1">G43*(IS!$G$43)</f>
        <v>35283.395743000016</v>
      </c>
    </row>
    <row r="47" spans="2:7" x14ac:dyDescent="0.35">
      <c r="B47" s="12" t="s">
        <v>174</v>
      </c>
      <c r="C47" s="12">
        <f ca="1">C6+C11-C12-C20-C25-C31-C43</f>
        <v>57285.21584331998</v>
      </c>
      <c r="D47" s="12">
        <f t="shared" ref="D47:G47" ca="1" si="6">D6+D11-D12-D20-D25-D31-D43</f>
        <v>38824.768495488126</v>
      </c>
      <c r="E47" s="12">
        <f t="shared" ca="1" si="6"/>
        <v>33743.042865931202</v>
      </c>
      <c r="F47" s="12">
        <f t="shared" ca="1" si="6"/>
        <v>49323.485823430601</v>
      </c>
      <c r="G47" s="12">
        <f t="shared" ca="1" si="6"/>
        <v>72532.941067435153</v>
      </c>
    </row>
    <row r="49" spans="2:7" x14ac:dyDescent="0.35">
      <c r="B49" s="49" t="s">
        <v>188</v>
      </c>
      <c r="C49" s="4">
        <f ca="1">C3/(C40+C38+C37+C36+C19)</f>
        <v>1.8910951501577038</v>
      </c>
      <c r="D49" s="4">
        <f t="shared" ref="D49:G49" ca="1" si="7">D3/(D40+D38+D37+D36+D19)</f>
        <v>1.6189074955782401</v>
      </c>
      <c r="E49" s="4">
        <f t="shared" ca="1" si="7"/>
        <v>1.5481601532288793</v>
      </c>
      <c r="F49" s="4">
        <f t="shared" ca="1" si="7"/>
        <v>1.8185797100874186</v>
      </c>
      <c r="G49" s="4">
        <f t="shared" ca="1" si="7"/>
        <v>1.9390723600923934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064E-A0D7-4D0E-8D76-A1CDC609B557}">
  <dimension ref="A1:K44"/>
  <sheetViews>
    <sheetView showGridLines="0" zoomScale="47" workbookViewId="0">
      <selection activeCell="J44" sqref="J44"/>
    </sheetView>
  </sheetViews>
  <sheetFormatPr defaultRowHeight="14.5" x14ac:dyDescent="0.35"/>
  <cols>
    <col min="1" max="1" width="30.08984375" bestFit="1" customWidth="1"/>
    <col min="2" max="9" width="10.90625" bestFit="1" customWidth="1"/>
    <col min="10" max="10" width="12.36328125" bestFit="1" customWidth="1"/>
    <col min="11" max="11" width="11.54296875" bestFit="1" customWidth="1"/>
  </cols>
  <sheetData>
    <row r="1" spans="1:11" ht="15" thickBot="1" x14ac:dyDescent="0.4">
      <c r="B1" s="80" t="s">
        <v>181</v>
      </c>
      <c r="C1" s="80"/>
      <c r="D1" s="80"/>
      <c r="E1" s="80"/>
      <c r="F1" s="80"/>
      <c r="G1" s="81" t="s">
        <v>182</v>
      </c>
      <c r="H1" s="81"/>
      <c r="I1" s="81"/>
      <c r="J1" s="81"/>
      <c r="K1" s="81"/>
    </row>
    <row r="2" spans="1:11" x14ac:dyDescent="0.35">
      <c r="A2" t="s">
        <v>0</v>
      </c>
      <c r="B2" s="51">
        <v>2020</v>
      </c>
      <c r="C2" s="51">
        <v>2021</v>
      </c>
      <c r="D2" s="51">
        <v>2022</v>
      </c>
      <c r="E2" s="51">
        <v>2023</v>
      </c>
      <c r="F2" s="51">
        <v>2024</v>
      </c>
      <c r="G2" s="5">
        <f>F2+1</f>
        <v>2025</v>
      </c>
      <c r="H2" s="5">
        <f t="shared" ref="H2:K2" si="0">G2+1</f>
        <v>2026</v>
      </c>
      <c r="I2" s="5">
        <f t="shared" si="0"/>
        <v>2027</v>
      </c>
      <c r="J2" s="5">
        <f t="shared" si="0"/>
        <v>2028</v>
      </c>
      <c r="K2" s="5">
        <f t="shared" si="0"/>
        <v>2029</v>
      </c>
    </row>
    <row r="3" spans="1:11" x14ac:dyDescent="0.35">
      <c r="A3" s="53" t="s">
        <v>13</v>
      </c>
      <c r="B3" s="54">
        <v>115249</v>
      </c>
      <c r="C3" s="54">
        <v>156590</v>
      </c>
      <c r="D3" s="54">
        <v>188336</v>
      </c>
      <c r="E3" s="54">
        <v>220789</v>
      </c>
      <c r="F3" s="54">
        <v>249331</v>
      </c>
      <c r="G3" s="54">
        <f>F3*(1+G4)</f>
        <v>275119.11250199808</v>
      </c>
      <c r="H3" s="54">
        <f t="shared" ref="H3:K3" si="1">G3*(1+H4)</f>
        <v>297883.39812922094</v>
      </c>
      <c r="I3" s="54">
        <f t="shared" si="1"/>
        <v>317601.70180344372</v>
      </c>
      <c r="J3" s="54">
        <f t="shared" si="1"/>
        <v>338625.25277318782</v>
      </c>
      <c r="K3" s="55">
        <f t="shared" si="1"/>
        <v>361040.45149817906</v>
      </c>
    </row>
    <row r="4" spans="1:11" x14ac:dyDescent="0.35">
      <c r="A4" s="56" t="s">
        <v>82</v>
      </c>
      <c r="C4" s="2">
        <f>C3/B3-1</f>
        <v>0.35871027080495277</v>
      </c>
      <c r="D4" s="2">
        <f t="shared" ref="D4:F5" si="2">D3/C3-1</f>
        <v>0.20273325244268481</v>
      </c>
      <c r="E4" s="2">
        <f t="shared" si="2"/>
        <v>0.17231437430974439</v>
      </c>
      <c r="F4" s="2">
        <f t="shared" si="2"/>
        <v>0.12927274456607885</v>
      </c>
      <c r="G4" s="2">
        <f>F4*(1+G5)</f>
        <v>0.10342922661842315</v>
      </c>
      <c r="H4" s="2">
        <f t="shared" ref="H4:K4" si="3">G4*(1+H5)</f>
        <v>8.2743381294738516E-2</v>
      </c>
      <c r="I4" s="2">
        <f t="shared" si="3"/>
        <v>6.6194705035790821E-2</v>
      </c>
      <c r="J4" s="2">
        <f t="shared" si="3"/>
        <v>6.6194705035790821E-2</v>
      </c>
      <c r="K4" s="43">
        <f t="shared" si="3"/>
        <v>6.6194705035790821E-2</v>
      </c>
    </row>
    <row r="5" spans="1:11" x14ac:dyDescent="0.35">
      <c r="A5" s="56" t="s">
        <v>194</v>
      </c>
      <c r="C5" s="2"/>
      <c r="D5" s="2">
        <f>D4/C4-1</f>
        <v>-0.43482729951459853</v>
      </c>
      <c r="E5" s="2">
        <f t="shared" si="2"/>
        <v>-0.15004385203922188</v>
      </c>
      <c r="F5" s="2">
        <f t="shared" si="2"/>
        <v>-0.24978548606917661</v>
      </c>
      <c r="G5" s="2">
        <f>AVERAGE($E$5:$F$5)</f>
        <v>-0.19991466905419925</v>
      </c>
      <c r="H5" s="3">
        <v>-0.2</v>
      </c>
      <c r="I5" s="3">
        <v>-0.2</v>
      </c>
      <c r="J5" s="3">
        <v>0</v>
      </c>
      <c r="K5" s="57">
        <v>0</v>
      </c>
    </row>
    <row r="6" spans="1:11" x14ac:dyDescent="0.35">
      <c r="A6" s="56" t="s">
        <v>14</v>
      </c>
      <c r="B6" s="12">
        <v>326901</v>
      </c>
      <c r="C6" s="12">
        <v>374723</v>
      </c>
      <c r="D6" s="12">
        <v>413677</v>
      </c>
      <c r="E6" s="12">
        <v>473650</v>
      </c>
      <c r="F6" s="12">
        <v>504078</v>
      </c>
      <c r="G6" s="12">
        <f>F6*(1+G7)</f>
        <v>556698.88338749798</v>
      </c>
      <c r="H6" s="12">
        <f t="shared" ref="H6:K6" si="4">G6*(1+H7)</f>
        <v>614812.87968307897</v>
      </c>
      <c r="I6" s="12">
        <f t="shared" si="4"/>
        <v>678993.41691528342</v>
      </c>
      <c r="J6" s="12">
        <f t="shared" si="4"/>
        <v>749873.78347041574</v>
      </c>
      <c r="K6" s="58">
        <f t="shared" si="4"/>
        <v>828153.37693678145</v>
      </c>
    </row>
    <row r="7" spans="1:11" x14ac:dyDescent="0.35">
      <c r="A7" s="56"/>
      <c r="C7" s="2">
        <f>C6/B6-1</f>
        <v>0.14628893762943518</v>
      </c>
      <c r="D7" s="2">
        <f t="shared" ref="D7:F7" si="5">D6/C6-1</f>
        <v>0.10395412077721411</v>
      </c>
      <c r="E7" s="2">
        <f t="shared" si="5"/>
        <v>0.14497542768875227</v>
      </c>
      <c r="F7" s="2">
        <f t="shared" si="5"/>
        <v>6.424152855484011E-2</v>
      </c>
      <c r="G7" s="2">
        <f>AVERAGE($D$7:$F$7)</f>
        <v>0.1043903590069355</v>
      </c>
      <c r="H7" s="2">
        <f t="shared" ref="H7:K7" si="6">AVERAGE($D$7:$F$7)</f>
        <v>0.1043903590069355</v>
      </c>
      <c r="I7" s="2">
        <f t="shared" si="6"/>
        <v>0.1043903590069355</v>
      </c>
      <c r="J7" s="2">
        <f t="shared" si="6"/>
        <v>0.1043903590069355</v>
      </c>
      <c r="K7" s="43">
        <f t="shared" si="6"/>
        <v>0.1043903590069355</v>
      </c>
    </row>
    <row r="8" spans="1:11" x14ac:dyDescent="0.35">
      <c r="A8" s="59" t="s">
        <v>15</v>
      </c>
      <c r="B8" s="12">
        <v>442150</v>
      </c>
      <c r="C8" s="12">
        <v>531313</v>
      </c>
      <c r="D8" s="12">
        <v>602013</v>
      </c>
      <c r="E8" s="12">
        <v>694439</v>
      </c>
      <c r="F8" s="12">
        <v>753409</v>
      </c>
      <c r="G8" s="12">
        <f>G3+G6</f>
        <v>831817.99588949606</v>
      </c>
      <c r="H8" s="12">
        <f t="shared" ref="H8:K8" si="7">H3+H6</f>
        <v>912696.2778122999</v>
      </c>
      <c r="I8" s="12">
        <f t="shared" si="7"/>
        <v>996595.11871872714</v>
      </c>
      <c r="J8" s="12">
        <f t="shared" si="7"/>
        <v>1088499.0362436036</v>
      </c>
      <c r="K8" s="58">
        <f t="shared" si="7"/>
        <v>1189193.8284349605</v>
      </c>
    </row>
    <row r="9" spans="1:11" x14ac:dyDescent="0.35">
      <c r="A9" s="56" t="s">
        <v>82</v>
      </c>
      <c r="C9" s="2">
        <f>C8/B8-1</f>
        <v>0.20165780843605119</v>
      </c>
      <c r="D9" s="2">
        <f t="shared" ref="D9:K9" si="8">D8/C8-1</f>
        <v>0.13306657281113021</v>
      </c>
      <c r="E9" s="2">
        <f t="shared" si="8"/>
        <v>0.15352824606777604</v>
      </c>
      <c r="F9" s="2">
        <f t="shared" si="8"/>
        <v>8.4917465752931465E-2</v>
      </c>
      <c r="G9" s="2">
        <f t="shared" si="8"/>
        <v>0.10407228462826446</v>
      </c>
      <c r="H9" s="2">
        <f t="shared" si="8"/>
        <v>9.7230743170346301E-2</v>
      </c>
      <c r="I9" s="2">
        <f t="shared" si="8"/>
        <v>9.1924162447040603E-2</v>
      </c>
      <c r="J9" s="2">
        <f t="shared" si="8"/>
        <v>9.221790855551526E-2</v>
      </c>
      <c r="K9" s="43">
        <f t="shared" si="8"/>
        <v>9.2507929578746761E-2</v>
      </c>
    </row>
    <row r="10" spans="1:11" x14ac:dyDescent="0.35">
      <c r="A10" s="56" t="s">
        <v>16</v>
      </c>
      <c r="B10" s="12">
        <v>4473</v>
      </c>
      <c r="C10" s="12">
        <v>5271</v>
      </c>
      <c r="D10" s="12">
        <v>10243</v>
      </c>
      <c r="E10" s="12">
        <v>11153</v>
      </c>
      <c r="F10" s="12">
        <v>10942</v>
      </c>
      <c r="G10" s="12">
        <f>G8*G11</f>
        <v>11252.090343043548</v>
      </c>
      <c r="H10" s="12">
        <f t="shared" ref="H10:K10" si="9">H8*H11</f>
        <v>12346.13944931755</v>
      </c>
      <c r="I10" s="12">
        <f t="shared" si="9"/>
        <v>13481.047977650434</v>
      </c>
      <c r="J10" s="12">
        <f t="shared" si="9"/>
        <v>14724.242027285914</v>
      </c>
      <c r="K10" s="58">
        <f t="shared" si="9"/>
        <v>16086.351171846502</v>
      </c>
    </row>
    <row r="11" spans="1:11" x14ac:dyDescent="0.35">
      <c r="A11" s="56"/>
      <c r="B11" s="2">
        <f>B10/B8</f>
        <v>1.0116476308944928E-2</v>
      </c>
      <c r="C11" s="2">
        <f t="shared" ref="C11:F11" si="10">C10/C8</f>
        <v>9.9207058739387149E-3</v>
      </c>
      <c r="D11" s="2">
        <f t="shared" si="10"/>
        <v>1.7014582741568703E-2</v>
      </c>
      <c r="E11" s="2">
        <f t="shared" si="10"/>
        <v>1.6060445913895965E-2</v>
      </c>
      <c r="F11" s="2">
        <f t="shared" si="10"/>
        <v>1.4523320002813877E-2</v>
      </c>
      <c r="G11" s="2">
        <f>AVERAGE($B$11:$F$11)</f>
        <v>1.3527106168232439E-2</v>
      </c>
      <c r="H11" s="2">
        <f t="shared" ref="H11:K11" si="11">AVERAGE($B$11:$F$11)</f>
        <v>1.3527106168232439E-2</v>
      </c>
      <c r="I11" s="2">
        <f t="shared" si="11"/>
        <v>1.3527106168232439E-2</v>
      </c>
      <c r="J11" s="2">
        <f t="shared" si="11"/>
        <v>1.3527106168232439E-2</v>
      </c>
      <c r="K11" s="43">
        <f t="shared" si="11"/>
        <v>1.3527106168232439E-2</v>
      </c>
    </row>
    <row r="12" spans="1:11" x14ac:dyDescent="0.35">
      <c r="A12" s="56" t="s">
        <v>17</v>
      </c>
      <c r="B12" s="12">
        <v>49744</v>
      </c>
      <c r="C12" s="12">
        <v>58242</v>
      </c>
      <c r="D12" s="12">
        <v>62177</v>
      </c>
      <c r="E12" s="12">
        <v>85255</v>
      </c>
      <c r="F12" s="12">
        <v>90318</v>
      </c>
      <c r="G12" s="12">
        <f>G8*G13</f>
        <v>94503.325191255426</v>
      </c>
      <c r="H12" s="12">
        <f t="shared" ref="H12:K12" si="12">H8*H13</f>
        <v>103691.9537316701</v>
      </c>
      <c r="I12" s="12">
        <f t="shared" si="12"/>
        <v>113223.74973095117</v>
      </c>
      <c r="J12" s="12">
        <f t="shared" si="12"/>
        <v>123665.00712995257</v>
      </c>
      <c r="K12" s="58">
        <f t="shared" si="12"/>
        <v>135105.00090088544</v>
      </c>
    </row>
    <row r="13" spans="1:11" x14ac:dyDescent="0.35">
      <c r="A13" s="56"/>
      <c r="B13" s="2">
        <f>B12/B8</f>
        <v>0.11250480606129142</v>
      </c>
      <c r="C13" s="2">
        <f t="shared" ref="C13:F13" si="13">C12/C8</f>
        <v>0.10961900047617883</v>
      </c>
      <c r="D13" s="2">
        <f t="shared" si="13"/>
        <v>0.10328182281777969</v>
      </c>
      <c r="E13" s="2">
        <f t="shared" si="13"/>
        <v>0.12276816250239402</v>
      </c>
      <c r="F13" s="2">
        <f t="shared" si="13"/>
        <v>0.11987910948767536</v>
      </c>
      <c r="G13" s="2">
        <f>AVERAGE($B$13:$F$13)</f>
        <v>0.11361058026906386</v>
      </c>
      <c r="H13" s="2">
        <f t="shared" ref="H13:K13" si="14">AVERAGE($B$13:$F$13)</f>
        <v>0.11361058026906386</v>
      </c>
      <c r="I13" s="2">
        <f t="shared" si="14"/>
        <v>0.11361058026906386</v>
      </c>
      <c r="J13" s="2">
        <f t="shared" si="14"/>
        <v>0.11361058026906386</v>
      </c>
      <c r="K13" s="43">
        <f t="shared" si="14"/>
        <v>0.11361058026906386</v>
      </c>
    </row>
    <row r="14" spans="1:11" x14ac:dyDescent="0.35">
      <c r="A14" s="56" t="s">
        <v>18</v>
      </c>
      <c r="B14" s="12">
        <v>7897</v>
      </c>
      <c r="C14" s="12">
        <v>14936</v>
      </c>
      <c r="D14" s="12">
        <v>22076</v>
      </c>
      <c r="E14" s="12">
        <v>30169</v>
      </c>
      <c r="F14" s="12">
        <v>29222</v>
      </c>
      <c r="G14" s="12">
        <f>G8*G15</f>
        <v>32263.200301407145</v>
      </c>
      <c r="H14" s="12">
        <f t="shared" ref="H14:K14" si="15">H8*H15</f>
        <v>24447.819910019105</v>
      </c>
      <c r="I14" s="12">
        <f t="shared" si="15"/>
        <v>21712.189685310062</v>
      </c>
      <c r="J14" s="12">
        <f t="shared" si="15"/>
        <v>20448.945299519175</v>
      </c>
      <c r="K14" s="58">
        <f t="shared" si="15"/>
        <v>22340.634891246737</v>
      </c>
    </row>
    <row r="15" spans="1:11" x14ac:dyDescent="0.35">
      <c r="A15" s="56"/>
      <c r="B15" s="2">
        <f>B14/B8</f>
        <v>1.7860454596856271E-2</v>
      </c>
      <c r="C15" s="2">
        <f t="shared" ref="C15:F15" si="16">C14/C8</f>
        <v>2.8111489837440454E-2</v>
      </c>
      <c r="D15" s="2">
        <f t="shared" si="16"/>
        <v>3.6670304461863777E-2</v>
      </c>
      <c r="E15" s="2">
        <f t="shared" si="16"/>
        <v>4.3443700598612696E-2</v>
      </c>
      <c r="F15" s="2">
        <f t="shared" si="16"/>
        <v>3.878636968764642E-2</v>
      </c>
      <c r="G15" s="2">
        <v>3.878636968764642E-2</v>
      </c>
      <c r="H15" s="2">
        <v>2.678636968764642E-2</v>
      </c>
      <c r="I15" s="2">
        <v>2.1786369687646419E-2</v>
      </c>
      <c r="J15" s="2">
        <v>1.878636968764642E-2</v>
      </c>
      <c r="K15" s="43">
        <v>1.878636968764642E-2</v>
      </c>
    </row>
    <row r="16" spans="1:11" x14ac:dyDescent="0.35">
      <c r="A16" s="59" t="s">
        <v>86</v>
      </c>
      <c r="B16" s="12">
        <v>62114</v>
      </c>
      <c r="C16" s="12">
        <v>78449</v>
      </c>
      <c r="D16" s="12">
        <v>94496</v>
      </c>
      <c r="E16" s="12">
        <v>126577</v>
      </c>
      <c r="F16" s="12">
        <v>130482</v>
      </c>
      <c r="G16" s="12">
        <f>G12+G10+G14</f>
        <v>138018.61583570612</v>
      </c>
      <c r="H16" s="12">
        <f t="shared" ref="H16:K16" si="17">H12+H10+H14</f>
        <v>140485.91309100675</v>
      </c>
      <c r="I16" s="12">
        <f t="shared" si="17"/>
        <v>148416.98739391167</v>
      </c>
      <c r="J16" s="12">
        <f t="shared" si="17"/>
        <v>158838.19445675766</v>
      </c>
      <c r="K16" s="58">
        <f t="shared" si="17"/>
        <v>173531.98696397868</v>
      </c>
    </row>
    <row r="17" spans="1:11" x14ac:dyDescent="0.35">
      <c r="A17" s="56"/>
      <c r="K17" s="60"/>
    </row>
    <row r="18" spans="1:11" x14ac:dyDescent="0.35">
      <c r="A18" s="56" t="s">
        <v>19</v>
      </c>
      <c r="B18" s="12">
        <v>380036</v>
      </c>
      <c r="C18" s="12">
        <v>452864</v>
      </c>
      <c r="D18" s="12">
        <v>507517</v>
      </c>
      <c r="E18" s="12">
        <v>567862</v>
      </c>
      <c r="F18" s="12">
        <v>622927</v>
      </c>
      <c r="G18" s="12">
        <f>G8-G16</f>
        <v>693799.38005378994</v>
      </c>
      <c r="H18" s="12">
        <f t="shared" ref="H18:K18" si="18">H8-H16</f>
        <v>772210.3647212931</v>
      </c>
      <c r="I18" s="12">
        <f t="shared" si="18"/>
        <v>848178.13132481545</v>
      </c>
      <c r="J18" s="12">
        <f t="shared" si="18"/>
        <v>929660.84178684594</v>
      </c>
      <c r="K18" s="58">
        <f t="shared" si="18"/>
        <v>1015661.8414709817</v>
      </c>
    </row>
    <row r="19" spans="1:11" x14ac:dyDescent="0.35">
      <c r="A19" s="56" t="s">
        <v>84</v>
      </c>
      <c r="K19" s="60"/>
    </row>
    <row r="20" spans="1:11" x14ac:dyDescent="0.35">
      <c r="A20" s="56"/>
      <c r="K20" s="60"/>
    </row>
    <row r="21" spans="1:11" x14ac:dyDescent="0.35">
      <c r="A21" s="56" t="s">
        <v>85</v>
      </c>
      <c r="B21" s="12">
        <v>100113</v>
      </c>
      <c r="C21" s="12">
        <v>125890</v>
      </c>
      <c r="D21" s="12">
        <v>140760</v>
      </c>
      <c r="E21" s="12">
        <v>156076</v>
      </c>
      <c r="F21" s="12">
        <v>164570</v>
      </c>
      <c r="G21" s="12">
        <f>G22*G8</f>
        <v>189715.23175492336</v>
      </c>
      <c r="H21" s="12">
        <f>H22*H8</f>
        <v>208161.38472918907</v>
      </c>
      <c r="I21" s="12">
        <f>I22*I8</f>
        <v>227296.44567423599</v>
      </c>
      <c r="J21" s="12">
        <f>J22*J8</f>
        <v>248257.24851641632</v>
      </c>
      <c r="K21" s="58">
        <f>K22*K8</f>
        <v>271223.01257958636</v>
      </c>
    </row>
    <row r="22" spans="1:11" x14ac:dyDescent="0.35">
      <c r="A22" s="56"/>
      <c r="B22" s="2">
        <f>B21/B8</f>
        <v>0.22642315956123488</v>
      </c>
      <c r="C22" s="2">
        <f>C21/C8</f>
        <v>0.23694131331249188</v>
      </c>
      <c r="D22" s="2">
        <f>D21/D8</f>
        <v>0.23381554883366307</v>
      </c>
      <c r="E22" s="2">
        <f>E21/E8</f>
        <v>0.22475120204942406</v>
      </c>
      <c r="F22" s="2">
        <f>F21/F8</f>
        <v>0.2184338121790422</v>
      </c>
      <c r="G22" s="2">
        <f>AVERAGE($B$22:$F$22)</f>
        <v>0.22807300718717119</v>
      </c>
      <c r="H22" s="2">
        <f t="shared" ref="H22:K22" si="19">AVERAGE($B$22:$F$22)</f>
        <v>0.22807300718717119</v>
      </c>
      <c r="I22" s="2">
        <f t="shared" si="19"/>
        <v>0.22807300718717119</v>
      </c>
      <c r="J22" s="2">
        <f t="shared" si="19"/>
        <v>0.22807300718717119</v>
      </c>
      <c r="K22" s="43">
        <f t="shared" si="19"/>
        <v>0.22807300718717119</v>
      </c>
    </row>
    <row r="23" spans="1:11" x14ac:dyDescent="0.35">
      <c r="A23" s="56" t="s">
        <v>83</v>
      </c>
      <c r="B23" s="12">
        <v>88599</v>
      </c>
      <c r="C23" s="12">
        <v>103338</v>
      </c>
      <c r="D23" s="12">
        <v>114568</v>
      </c>
      <c r="E23" s="12">
        <v>132401</v>
      </c>
      <c r="F23" s="12">
        <v>146342</v>
      </c>
      <c r="G23" s="12">
        <f>G8*G24</f>
        <v>161386.77324437787</v>
      </c>
      <c r="H23" s="12">
        <f>H8*H24</f>
        <v>177078.52914479288</v>
      </c>
      <c r="I23" s="12">
        <f>I8*I24</f>
        <v>193356.32462378187</v>
      </c>
      <c r="J23" s="12">
        <f>J8*J24</f>
        <v>211187.24048656828</v>
      </c>
      <c r="K23" s="58">
        <f>K8*K24</f>
        <v>230723.73485742958</v>
      </c>
    </row>
    <row r="24" spans="1:11" x14ac:dyDescent="0.35">
      <c r="A24" s="56"/>
      <c r="B24" s="2">
        <f>B23/B8</f>
        <v>0.2003822232274115</v>
      </c>
      <c r="C24" s="2">
        <f>C23/C8</f>
        <v>0.19449552335440692</v>
      </c>
      <c r="D24" s="2">
        <f>D23/D8</f>
        <v>0.19030818271366232</v>
      </c>
      <c r="E24" s="2">
        <f>E23/E8</f>
        <v>0.19065893476604856</v>
      </c>
      <c r="F24" s="2">
        <f>F23/F8</f>
        <v>0.19423978211038095</v>
      </c>
      <c r="G24" s="2">
        <f>AVERAGE($B$24:$F$24)</f>
        <v>0.19401692923438205</v>
      </c>
      <c r="H24" s="2">
        <f t="shared" ref="H24:K24" si="20">AVERAGE($B$24:$F$24)</f>
        <v>0.19401692923438205</v>
      </c>
      <c r="I24" s="2">
        <f t="shared" si="20"/>
        <v>0.19401692923438205</v>
      </c>
      <c r="J24" s="2">
        <f t="shared" si="20"/>
        <v>0.19401692923438205</v>
      </c>
      <c r="K24" s="43">
        <f t="shared" si="20"/>
        <v>0.19401692923438205</v>
      </c>
    </row>
    <row r="25" spans="1:11" x14ac:dyDescent="0.35">
      <c r="A25" s="56" t="s">
        <v>87</v>
      </c>
      <c r="B25" s="12">
        <v>54004</v>
      </c>
      <c r="C25" s="12">
        <v>65128</v>
      </c>
      <c r="D25" s="12">
        <v>77876</v>
      </c>
      <c r="E25" s="12">
        <v>83157</v>
      </c>
      <c r="F25" s="12">
        <v>89518</v>
      </c>
      <c r="G25" s="12">
        <f ca="1">G8*G26</f>
        <v>101921.41332486944</v>
      </c>
      <c r="H25" s="12">
        <f ca="1">H8*H26</f>
        <v>111831.30808741854</v>
      </c>
      <c r="I25" s="12">
        <f ca="1">I8*I26</f>
        <v>122111.30741871147</v>
      </c>
      <c r="J25" s="12">
        <f ca="1">J8*J26</f>
        <v>133372.15679984461</v>
      </c>
      <c r="K25" s="58">
        <f ca="1">K8*K26</f>
        <v>145710.1388888502</v>
      </c>
    </row>
    <row r="26" spans="1:11" x14ac:dyDescent="0.35">
      <c r="A26" s="56"/>
      <c r="B26" s="2">
        <f>B25/B8</f>
        <v>0.12213954540314373</v>
      </c>
      <c r="C26" s="2">
        <f>C25/C8</f>
        <v>0.12257934588462921</v>
      </c>
      <c r="D26" s="2">
        <f>D25/D8</f>
        <v>0.12935933277188366</v>
      </c>
      <c r="E26" s="2">
        <f>E25/E8</f>
        <v>0.11974701881662753</v>
      </c>
      <c r="F26" s="2">
        <f>F25/F8</f>
        <v>0.11881726923888618</v>
      </c>
      <c r="G26" s="2">
        <f ca="1">AVERAGE($B$26:$G$26)</f>
        <v>0.12252850242303405</v>
      </c>
      <c r="H26" s="2">
        <f t="shared" ref="H26:K26" ca="1" si="21">AVERAGE($B$26:$G$26)</f>
        <v>0.12252850242303405</v>
      </c>
      <c r="I26" s="2">
        <f t="shared" ca="1" si="21"/>
        <v>0.12252850242303405</v>
      </c>
      <c r="J26" s="2">
        <f t="shared" ca="1" si="21"/>
        <v>0.12252850242303405</v>
      </c>
      <c r="K26" s="43">
        <f t="shared" ca="1" si="21"/>
        <v>0.12252850242303405</v>
      </c>
    </row>
    <row r="27" spans="1:11" x14ac:dyDescent="0.35">
      <c r="A27" s="56" t="s">
        <v>18</v>
      </c>
      <c r="B27" s="12">
        <v>20049</v>
      </c>
      <c r="C27" s="12">
        <v>31996</v>
      </c>
      <c r="D27" s="12">
        <v>46868</v>
      </c>
      <c r="E27" s="12">
        <v>66430</v>
      </c>
      <c r="F27" s="12">
        <v>65290</v>
      </c>
      <c r="G27" s="12">
        <f>G8*G28</f>
        <v>61970.44069376745</v>
      </c>
      <c r="H27" s="12">
        <f t="shared" ref="H27:K27" si="22">H8*H28</f>
        <v>56313.360341018903</v>
      </c>
      <c r="I27" s="12">
        <f t="shared" si="22"/>
        <v>46500.567459633996</v>
      </c>
      <c r="J27" s="12">
        <f t="shared" si="22"/>
        <v>50788.752537406093</v>
      </c>
      <c r="K27" s="58">
        <f t="shared" si="22"/>
        <v>53923.209468036919</v>
      </c>
    </row>
    <row r="28" spans="1:11" x14ac:dyDescent="0.35">
      <c r="A28" s="56"/>
      <c r="B28" s="2">
        <f>B27/B8</f>
        <v>4.5344340156055638E-2</v>
      </c>
      <c r="C28" s="2">
        <f t="shared" ref="C28:F28" si="23">C27/C8</f>
        <v>6.022062324844301E-2</v>
      </c>
      <c r="D28" s="2">
        <f t="shared" si="23"/>
        <v>7.7852139405627449E-2</v>
      </c>
      <c r="E28" s="2">
        <f t="shared" si="23"/>
        <v>9.5659949974007799E-2</v>
      </c>
      <c r="F28" s="2">
        <f t="shared" si="23"/>
        <v>8.6659437304306156E-2</v>
      </c>
      <c r="G28" s="2">
        <v>7.4499999999999997E-2</v>
      </c>
      <c r="H28" s="2">
        <v>6.1699999999999998E-2</v>
      </c>
      <c r="I28" s="2">
        <v>4.6659437304306155E-2</v>
      </c>
      <c r="J28" s="2">
        <v>4.6659437304306155E-2</v>
      </c>
      <c r="K28" s="43">
        <v>4.5344340156055638E-2</v>
      </c>
    </row>
    <row r="29" spans="1:11" x14ac:dyDescent="0.35">
      <c r="A29" s="56" t="s">
        <v>20</v>
      </c>
      <c r="B29" s="12">
        <v>5906</v>
      </c>
      <c r="C29" s="12">
        <v>6308</v>
      </c>
      <c r="D29" s="12">
        <v>879</v>
      </c>
      <c r="E29" s="12">
        <v>8407</v>
      </c>
      <c r="F29" s="12">
        <v>10454</v>
      </c>
      <c r="G29" s="12">
        <v>0</v>
      </c>
      <c r="H29" s="12">
        <v>0</v>
      </c>
      <c r="I29" s="12">
        <v>0</v>
      </c>
      <c r="J29" s="12">
        <v>0</v>
      </c>
      <c r="K29" s="58">
        <v>0</v>
      </c>
    </row>
    <row r="30" spans="1:11" x14ac:dyDescent="0.35">
      <c r="A30" s="56"/>
      <c r="K30" s="60"/>
    </row>
    <row r="31" spans="1:11" x14ac:dyDescent="0.35">
      <c r="A31" s="56" t="s">
        <v>21</v>
      </c>
      <c r="B31" s="12">
        <v>3637</v>
      </c>
      <c r="C31" s="12">
        <v>4102</v>
      </c>
      <c r="D31" s="12">
        <v>4603</v>
      </c>
      <c r="E31" s="12">
        <v>4704</v>
      </c>
      <c r="F31" s="12">
        <v>17109</v>
      </c>
      <c r="G31" s="12">
        <v>0</v>
      </c>
      <c r="H31" s="12">
        <v>0</v>
      </c>
      <c r="I31" s="12">
        <v>0</v>
      </c>
      <c r="J31" s="12">
        <v>0</v>
      </c>
      <c r="K31" s="58">
        <v>0</v>
      </c>
    </row>
    <row r="32" spans="1:11" x14ac:dyDescent="0.35">
      <c r="A32" s="56"/>
      <c r="K32" s="60"/>
    </row>
    <row r="33" spans="1:11" x14ac:dyDescent="0.35">
      <c r="A33" s="56" t="s">
        <v>88</v>
      </c>
      <c r="B33" s="12">
        <v>0</v>
      </c>
      <c r="C33" s="12">
        <v>0</v>
      </c>
      <c r="D33" s="12">
        <v>602</v>
      </c>
      <c r="E33" s="12">
        <v>6164</v>
      </c>
      <c r="F33" s="12">
        <v>5641</v>
      </c>
      <c r="G33" s="12">
        <v>6000</v>
      </c>
      <c r="H33" s="12">
        <v>6000</v>
      </c>
      <c r="I33" s="12">
        <v>6000</v>
      </c>
      <c r="J33" s="12">
        <v>6000</v>
      </c>
      <c r="K33" s="58">
        <v>6000</v>
      </c>
    </row>
    <row r="34" spans="1:11" x14ac:dyDescent="0.35">
      <c r="A34" s="59" t="s">
        <v>22</v>
      </c>
      <c r="B34" s="12">
        <v>272308</v>
      </c>
      <c r="C34" s="12">
        <v>336762</v>
      </c>
      <c r="D34" s="12">
        <v>375386</v>
      </c>
      <c r="E34" s="12">
        <v>457339</v>
      </c>
      <c r="F34" s="12">
        <v>498924</v>
      </c>
      <c r="G34" s="12">
        <f ca="1">G21+G23+G25+G27+G29+G31+G33</f>
        <v>520993.85901793808</v>
      </c>
      <c r="H34" s="12">
        <f t="shared" ref="H34:K34" ca="1" si="24">H21+H23+H25+H27+H29+H31+H33</f>
        <v>559384.58230241935</v>
      </c>
      <c r="I34" s="12">
        <f t="shared" ca="1" si="24"/>
        <v>595264.64517636341</v>
      </c>
      <c r="J34" s="12">
        <f t="shared" ca="1" si="24"/>
        <v>649605.39834023523</v>
      </c>
      <c r="K34" s="58">
        <f t="shared" ca="1" si="24"/>
        <v>707580.09579390299</v>
      </c>
    </row>
    <row r="35" spans="1:11" x14ac:dyDescent="0.35">
      <c r="A35" s="56" t="s">
        <v>23</v>
      </c>
      <c r="B35" s="12">
        <v>107728</v>
      </c>
      <c r="C35" s="12">
        <v>116102</v>
      </c>
      <c r="D35" s="12">
        <v>132131</v>
      </c>
      <c r="E35" s="12">
        <v>110523</v>
      </c>
      <c r="F35" s="12">
        <v>124003</v>
      </c>
      <c r="G35" s="12">
        <f ca="1">G18-G34</f>
        <v>172805.52103585185</v>
      </c>
      <c r="H35" s="12">
        <f ca="1">H18-H34</f>
        <v>212825.78241887374</v>
      </c>
      <c r="I35" s="12">
        <f ca="1">I18-I34</f>
        <v>252913.48614845204</v>
      </c>
      <c r="J35" s="12">
        <f ca="1">J18-J34</f>
        <v>280055.4434466107</v>
      </c>
      <c r="K35" s="58">
        <f ca="1">K18-K34</f>
        <v>308081.74567707872</v>
      </c>
    </row>
    <row r="36" spans="1:11" x14ac:dyDescent="0.35">
      <c r="A36" s="56" t="s">
        <v>148</v>
      </c>
      <c r="B36" s="12">
        <v>-10170</v>
      </c>
      <c r="C36" s="12">
        <v>-20045</v>
      </c>
      <c r="D36" s="12">
        <v>-15790</v>
      </c>
      <c r="E36" s="12">
        <v>-30780</v>
      </c>
      <c r="F36" s="12">
        <v>-32012</v>
      </c>
      <c r="G36" s="12">
        <f ca="1">-'Debt Schedule'!C43</f>
        <v>-111544.0877747004</v>
      </c>
      <c r="H36" s="12">
        <f ca="1">-'Debt Schedule'!D43</f>
        <v>-108433.74124453616</v>
      </c>
      <c r="I36" s="12">
        <f ca="1">-'Debt Schedule'!E43</f>
        <v>-106085.28641869358</v>
      </c>
      <c r="J36" s="12">
        <f ca="1">-'Debt Schedule'!F43</f>
        <v>-103481.39044406275</v>
      </c>
      <c r="K36" s="58">
        <f ca="1">-'Debt Schedule'!G43</f>
        <v>-100809.7021228572</v>
      </c>
    </row>
    <row r="37" spans="1:11" x14ac:dyDescent="0.35">
      <c r="A37" s="56" t="s">
        <v>24</v>
      </c>
      <c r="B37" s="12">
        <v>1495</v>
      </c>
      <c r="C37" s="12">
        <v>777</v>
      </c>
      <c r="D37" s="12">
        <v>1414</v>
      </c>
      <c r="E37" s="12">
        <v>2538</v>
      </c>
      <c r="F37" s="12">
        <v>4734</v>
      </c>
      <c r="G37" s="12">
        <f>$E$37</f>
        <v>2538</v>
      </c>
      <c r="H37" s="12">
        <f t="shared" ref="H37:K37" si="25">$E$37</f>
        <v>2538</v>
      </c>
      <c r="I37" s="12">
        <f t="shared" si="25"/>
        <v>2538</v>
      </c>
      <c r="J37" s="12">
        <f t="shared" si="25"/>
        <v>2538</v>
      </c>
      <c r="K37" s="58">
        <f t="shared" si="25"/>
        <v>2538</v>
      </c>
    </row>
    <row r="38" spans="1:11" x14ac:dyDescent="0.35">
      <c r="A38" s="56" t="s">
        <v>89</v>
      </c>
      <c r="B38" s="12">
        <v>-2418</v>
      </c>
      <c r="C38" s="12">
        <v>-1300</v>
      </c>
      <c r="D38" s="12">
        <v>-500</v>
      </c>
      <c r="E38" s="12">
        <v>-2624</v>
      </c>
      <c r="F38" s="12">
        <v>-2461</v>
      </c>
      <c r="G38" s="12">
        <v>0</v>
      </c>
      <c r="H38" s="12">
        <v>0</v>
      </c>
      <c r="I38" s="12">
        <v>0</v>
      </c>
      <c r="J38" s="12">
        <v>0</v>
      </c>
      <c r="K38" s="58">
        <v>0</v>
      </c>
    </row>
    <row r="39" spans="1:11" x14ac:dyDescent="0.35">
      <c r="A39" s="56" t="s">
        <v>25</v>
      </c>
      <c r="B39" s="12">
        <v>-11093</v>
      </c>
      <c r="C39" s="12">
        <v>-20568</v>
      </c>
      <c r="D39" s="12">
        <v>-14876</v>
      </c>
      <c r="E39" s="12">
        <v>-30866</v>
      </c>
      <c r="F39" s="12">
        <v>-29739</v>
      </c>
      <c r="G39" s="12">
        <f ca="1">G36+G37+G38</f>
        <v>-109006.0877747004</v>
      </c>
      <c r="H39" s="12">
        <f t="shared" ref="H39:K39" ca="1" si="26">H36+H37+H38</f>
        <v>-105895.74124453616</v>
      </c>
      <c r="I39" s="12">
        <f t="shared" ca="1" si="26"/>
        <v>-103547.28641869358</v>
      </c>
      <c r="J39" s="12">
        <f t="shared" ca="1" si="26"/>
        <v>-100943.39044406275</v>
      </c>
      <c r="K39" s="58">
        <f t="shared" ca="1" si="26"/>
        <v>-98271.702122857198</v>
      </c>
    </row>
    <row r="40" spans="1:11" x14ac:dyDescent="0.35">
      <c r="A40" s="56"/>
      <c r="K40" s="60"/>
    </row>
    <row r="41" spans="1:11" x14ac:dyDescent="0.35">
      <c r="A41" s="56" t="s">
        <v>90</v>
      </c>
      <c r="B41" s="12">
        <v>96635</v>
      </c>
      <c r="C41" s="12">
        <v>95534</v>
      </c>
      <c r="D41" s="12">
        <v>117255</v>
      </c>
      <c r="E41" s="12">
        <v>79657</v>
      </c>
      <c r="F41" s="12">
        <v>94264</v>
      </c>
      <c r="G41" s="12">
        <f ca="1">G35+G39</f>
        <v>63799.433261151455</v>
      </c>
      <c r="H41" s="12">
        <f t="shared" ref="H41:K41" ca="1" si="27">H35+H39</f>
        <v>106930.04117433759</v>
      </c>
      <c r="I41" s="12">
        <f t="shared" ca="1" si="27"/>
        <v>149366.19972975846</v>
      </c>
      <c r="J41" s="12">
        <f t="shared" ca="1" si="27"/>
        <v>179112.05300254794</v>
      </c>
      <c r="K41" s="58">
        <f t="shared" ca="1" si="27"/>
        <v>209810.04355422151</v>
      </c>
    </row>
    <row r="42" spans="1:11" x14ac:dyDescent="0.35">
      <c r="A42" s="56" t="s">
        <v>91</v>
      </c>
      <c r="B42" s="12">
        <v>16913</v>
      </c>
      <c r="C42" s="12">
        <v>17114</v>
      </c>
      <c r="D42" s="12">
        <v>22186</v>
      </c>
      <c r="E42" s="12">
        <v>9460</v>
      </c>
      <c r="F42" s="12">
        <v>25826</v>
      </c>
      <c r="G42" s="12">
        <f ca="1">G41*G43</f>
        <v>22329.801641403006</v>
      </c>
      <c r="H42" s="12">
        <f t="shared" ref="H42:K42" ca="1" si="28">H41*H43</f>
        <v>37425.51441101815</v>
      </c>
      <c r="I42" s="12">
        <f t="shared" ca="1" si="28"/>
        <v>52278.16990541546</v>
      </c>
      <c r="J42" s="12">
        <f t="shared" ca="1" si="28"/>
        <v>62689.218550891776</v>
      </c>
      <c r="K42" s="58">
        <f t="shared" ca="1" si="28"/>
        <v>73433.515243977527</v>
      </c>
    </row>
    <row r="43" spans="1:11" x14ac:dyDescent="0.35">
      <c r="A43" s="56" t="s">
        <v>92</v>
      </c>
      <c r="G43" s="3">
        <v>0.35</v>
      </c>
      <c r="H43" s="3">
        <v>0.35</v>
      </c>
      <c r="I43" s="3">
        <v>0.35</v>
      </c>
      <c r="J43" s="3">
        <v>0.35</v>
      </c>
      <c r="K43" s="57">
        <v>0.35</v>
      </c>
    </row>
    <row r="44" spans="1:11" x14ac:dyDescent="0.35">
      <c r="A44" s="61" t="s">
        <v>26</v>
      </c>
      <c r="B44" s="62">
        <v>79722</v>
      </c>
      <c r="C44" s="62">
        <v>78420</v>
      </c>
      <c r="D44" s="62">
        <v>95069</v>
      </c>
      <c r="E44" s="62">
        <v>70197</v>
      </c>
      <c r="F44" s="62">
        <v>68438</v>
      </c>
      <c r="G44" s="62">
        <f ca="1">G41-G42</f>
        <v>41469.631619748448</v>
      </c>
      <c r="H44" s="62">
        <f t="shared" ref="H44:K44" ca="1" si="29">H41-H42</f>
        <v>69504.526763319445</v>
      </c>
      <c r="I44" s="62">
        <f t="shared" ca="1" si="29"/>
        <v>97088.029824343001</v>
      </c>
      <c r="J44" s="62">
        <f t="shared" ca="1" si="29"/>
        <v>116422.83445165616</v>
      </c>
      <c r="K44" s="63">
        <f t="shared" ca="1" si="29"/>
        <v>136376.52831024397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451B-36E4-4DE8-9384-988B8749F2D3}">
  <dimension ref="A1:J43"/>
  <sheetViews>
    <sheetView showGridLines="0" zoomScale="71" workbookViewId="0">
      <selection activeCell="J41" sqref="A3:J41"/>
    </sheetView>
  </sheetViews>
  <sheetFormatPr defaultRowHeight="14.5" x14ac:dyDescent="0.35"/>
  <cols>
    <col min="1" max="1" width="40" bestFit="1" customWidth="1"/>
    <col min="2" max="10" width="10.7265625" bestFit="1" customWidth="1"/>
  </cols>
  <sheetData>
    <row r="1" spans="1:10" ht="15" thickBot="1" x14ac:dyDescent="0.4">
      <c r="B1" s="80" t="s">
        <v>160</v>
      </c>
      <c r="C1" s="80"/>
      <c r="D1" s="80"/>
      <c r="E1" s="80"/>
      <c r="F1" s="81" t="s">
        <v>161</v>
      </c>
      <c r="G1" s="81"/>
      <c r="H1" s="81"/>
      <c r="I1" s="81"/>
      <c r="J1" s="81"/>
    </row>
    <row r="2" spans="1:10" x14ac:dyDescent="0.35">
      <c r="A2" t="s">
        <v>0</v>
      </c>
      <c r="B2" s="51">
        <v>2021</v>
      </c>
      <c r="C2" s="51">
        <f>B2+1</f>
        <v>2022</v>
      </c>
      <c r="D2" s="51">
        <f t="shared" ref="D2" si="0">C2+1</f>
        <v>2023</v>
      </c>
      <c r="E2" s="51">
        <f t="shared" ref="E2" si="1">D2+1</f>
        <v>2024</v>
      </c>
      <c r="F2" s="5">
        <f t="shared" ref="F2" si="2">E2+1</f>
        <v>2025</v>
      </c>
      <c r="G2" s="5">
        <f t="shared" ref="G2" si="3">F2+1</f>
        <v>2026</v>
      </c>
      <c r="H2" s="5">
        <f t="shared" ref="H2" si="4">G2+1</f>
        <v>2027</v>
      </c>
      <c r="I2" s="5">
        <f t="shared" ref="I2" si="5">H2+1</f>
        <v>2028</v>
      </c>
      <c r="J2" s="5">
        <f t="shared" ref="J2" si="6">I2+1</f>
        <v>2029</v>
      </c>
    </row>
    <row r="3" spans="1:10" x14ac:dyDescent="0.35">
      <c r="A3" s="53" t="s">
        <v>27</v>
      </c>
      <c r="B3" s="9"/>
      <c r="C3" s="9"/>
      <c r="D3" s="9"/>
      <c r="E3" s="9"/>
      <c r="F3" s="9"/>
      <c r="G3" s="9"/>
      <c r="H3" s="9"/>
      <c r="I3" s="9"/>
      <c r="J3" s="64"/>
    </row>
    <row r="4" spans="1:10" x14ac:dyDescent="0.35">
      <c r="A4" s="56" t="s">
        <v>3</v>
      </c>
      <c r="B4" s="65">
        <v>155406</v>
      </c>
      <c r="C4" s="65">
        <v>256277</v>
      </c>
      <c r="D4" s="65">
        <v>126958</v>
      </c>
      <c r="E4" s="65">
        <v>118077</v>
      </c>
      <c r="F4" s="65">
        <f ca="1">CFS!G38</f>
        <v>108629.40102922177</v>
      </c>
      <c r="G4" s="65">
        <f ca="1">CFS!H38</f>
        <v>53035.10967450832</v>
      </c>
      <c r="H4" s="65">
        <f ca="1">CFS!I38</f>
        <v>56751.668154133353</v>
      </c>
      <c r="I4" s="65">
        <f ca="1">CFS!J38</f>
        <v>50379.356475145338</v>
      </c>
      <c r="J4" s="66">
        <f ca="1">CFS!K38</f>
        <v>66468.495390047319</v>
      </c>
    </row>
    <row r="5" spans="1:10" x14ac:dyDescent="0.35">
      <c r="A5" s="56" t="s">
        <v>28</v>
      </c>
      <c r="B5" s="65">
        <v>99815</v>
      </c>
      <c r="C5" s="65">
        <v>97834</v>
      </c>
      <c r="D5" s="65">
        <v>125825</v>
      </c>
      <c r="E5" s="65">
        <v>163575</v>
      </c>
      <c r="F5" s="65">
        <f>NWC!F3</f>
        <v>177685.14588587012</v>
      </c>
      <c r="G5" s="65">
        <f>NWC!G3</f>
        <v>194961.60467068473</v>
      </c>
      <c r="H5" s="65">
        <f>NWC!H3</f>
        <v>212883.28688936846</v>
      </c>
      <c r="I5" s="65">
        <f>NWC!I3</f>
        <v>232514.93837272975</v>
      </c>
      <c r="J5" s="66">
        <f>NWC!J3</f>
        <v>254024.41391772084</v>
      </c>
    </row>
    <row r="6" spans="1:10" x14ac:dyDescent="0.35">
      <c r="A6" s="56" t="s">
        <v>29</v>
      </c>
      <c r="B6" s="65">
        <v>25816</v>
      </c>
      <c r="C6" s="65">
        <v>29158</v>
      </c>
      <c r="D6" s="65">
        <v>29965</v>
      </c>
      <c r="E6" s="65">
        <v>34672</v>
      </c>
      <c r="F6" s="65">
        <f>NWC!F5</f>
        <v>41021.161441125834</v>
      </c>
      <c r="G6" s="65">
        <f>NWC!G5</f>
        <v>45009.679453757257</v>
      </c>
      <c r="H6" s="65">
        <f>NWC!H5</f>
        <v>49147.156539553667</v>
      </c>
      <c r="I6" s="65">
        <f>NWC!I5</f>
        <v>53679.404527081817</v>
      </c>
      <c r="J6" s="66">
        <f>NWC!J5</f>
        <v>58645.175100902161</v>
      </c>
    </row>
    <row r="7" spans="1:10" x14ac:dyDescent="0.35">
      <c r="A7" s="56" t="s">
        <v>30</v>
      </c>
      <c r="B7" s="65">
        <v>56771</v>
      </c>
      <c r="C7" s="65">
        <v>42784</v>
      </c>
      <c r="D7" s="65">
        <v>48040</v>
      </c>
      <c r="E7" s="65">
        <v>52489</v>
      </c>
      <c r="F7" s="65">
        <f>NWC!F7</f>
        <v>57951.650147852968</v>
      </c>
      <c r="G7" s="65">
        <f>NWC!G7</f>
        <v>63586.332159676633</v>
      </c>
      <c r="H7" s="65">
        <f>NWC!H7</f>
        <v>69431.452486534239</v>
      </c>
      <c r="I7" s="65">
        <f>NWC!I7</f>
        <v>75834.275822814045</v>
      </c>
      <c r="J7" s="66">
        <f>NWC!J7</f>
        <v>82849.547670286178</v>
      </c>
    </row>
    <row r="8" spans="1:10" x14ac:dyDescent="0.35">
      <c r="A8" s="56" t="s">
        <v>31</v>
      </c>
      <c r="B8" s="65">
        <v>337808</v>
      </c>
      <c r="C8" s="65">
        <v>426053</v>
      </c>
      <c r="D8" s="65">
        <v>330788</v>
      </c>
      <c r="E8" s="65">
        <v>368813</v>
      </c>
      <c r="F8" s="65">
        <f ca="1">SUM(F4:F7)</f>
        <v>385287.35850407073</v>
      </c>
      <c r="G8" s="65">
        <f ca="1">SUM(G4:G7)</f>
        <v>356592.72595862695</v>
      </c>
      <c r="H8" s="65">
        <f ca="1">SUM(H4:H7)</f>
        <v>388213.56406958972</v>
      </c>
      <c r="I8" s="65">
        <f ca="1">SUM(I4:I7)</f>
        <v>412407.97519777092</v>
      </c>
      <c r="J8" s="66">
        <f ca="1">SUM(J4:J7)</f>
        <v>461987.63207895646</v>
      </c>
    </row>
    <row r="9" spans="1:10" x14ac:dyDescent="0.35">
      <c r="A9" s="56" t="s">
        <v>32</v>
      </c>
      <c r="B9" s="65">
        <v>17464</v>
      </c>
      <c r="C9" s="65">
        <v>39936</v>
      </c>
      <c r="D9" s="65">
        <v>28373</v>
      </c>
      <c r="E9" s="65">
        <v>28893</v>
      </c>
      <c r="F9" s="65">
        <f>E9</f>
        <v>28893</v>
      </c>
      <c r="G9" s="65">
        <f>F9</f>
        <v>28893</v>
      </c>
      <c r="H9" s="65">
        <f>G9</f>
        <v>28893</v>
      </c>
      <c r="I9" s="65">
        <f>H9</f>
        <v>28893</v>
      </c>
      <c r="J9" s="66">
        <f>I9</f>
        <v>28893</v>
      </c>
    </row>
    <row r="10" spans="1:10" x14ac:dyDescent="0.35">
      <c r="A10" s="56" t="s">
        <v>4</v>
      </c>
      <c r="B10" s="65">
        <v>14345</v>
      </c>
      <c r="C10" s="65">
        <v>14927</v>
      </c>
      <c r="D10" s="65">
        <v>15225</v>
      </c>
      <c r="E10" s="65">
        <v>13746</v>
      </c>
      <c r="F10" s="65">
        <f>'Fixed asset schedule'!H6</f>
        <v>11978.985412663133</v>
      </c>
      <c r="G10" s="65">
        <f>'Fixed asset schedule'!I6</f>
        <v>11455.859134344257</v>
      </c>
      <c r="H10" s="65">
        <f>'Fixed asset schedule'!J6</f>
        <v>10955.577954641032</v>
      </c>
      <c r="I10" s="65">
        <f>'Fixed asset schedule'!K6</f>
        <v>10477.144220496466</v>
      </c>
      <c r="J10" s="66">
        <f>'Fixed asset schedule'!L6</f>
        <v>10019.603846694479</v>
      </c>
    </row>
    <row r="11" spans="1:10" x14ac:dyDescent="0.35">
      <c r="A11" s="56" t="s">
        <v>33</v>
      </c>
      <c r="B11" s="65">
        <v>287185</v>
      </c>
      <c r="C11" s="65">
        <v>217355</v>
      </c>
      <c r="D11" s="65">
        <v>354278</v>
      </c>
      <c r="E11" s="65">
        <v>723571</v>
      </c>
      <c r="F11" s="65">
        <f ca="1">'Fixed asset schedule'!H18</f>
        <v>1422109.0147944747</v>
      </c>
      <c r="G11" s="65">
        <f ca="1">'Fixed asset schedule'!I18</f>
        <v>1372462.52469386</v>
      </c>
      <c r="H11" s="65">
        <f ca="1">'Fixed asset schedule'!J18</f>
        <v>1330337.2914753079</v>
      </c>
      <c r="I11" s="65">
        <f ca="1">'Fixed asset schedule'!K18</f>
        <v>1295629.6447586424</v>
      </c>
      <c r="J11" s="66">
        <f ca="1">'Fixed asset schedule'!L18</f>
        <v>1268282.1499815613</v>
      </c>
    </row>
    <row r="12" spans="1:10" x14ac:dyDescent="0.35">
      <c r="A12" s="56" t="s">
        <v>5</v>
      </c>
      <c r="B12" s="65">
        <v>671152</v>
      </c>
      <c r="C12" s="65">
        <v>671037</v>
      </c>
      <c r="D12" s="65">
        <v>832101</v>
      </c>
      <c r="E12" s="65">
        <v>1292177</v>
      </c>
      <c r="F12" s="65">
        <f t="shared" ref="F12:J12" si="7">E12</f>
        <v>1292177</v>
      </c>
      <c r="G12" s="65">
        <f t="shared" si="7"/>
        <v>1292177</v>
      </c>
      <c r="H12" s="65">
        <f t="shared" si="7"/>
        <v>1292177</v>
      </c>
      <c r="I12" s="65">
        <f t="shared" si="7"/>
        <v>1292177</v>
      </c>
      <c r="J12" s="66">
        <f t="shared" si="7"/>
        <v>1292177</v>
      </c>
    </row>
    <row r="13" spans="1:10" x14ac:dyDescent="0.35">
      <c r="A13" s="56" t="s">
        <v>34</v>
      </c>
      <c r="B13" s="65">
        <v>25253</v>
      </c>
      <c r="C13" s="65">
        <v>17574</v>
      </c>
      <c r="D13" s="65">
        <v>18711</v>
      </c>
      <c r="E13" s="65">
        <v>30894</v>
      </c>
      <c r="F13" s="65">
        <f t="shared" ref="F13:J13" si="8">E13</f>
        <v>30894</v>
      </c>
      <c r="G13" s="65">
        <f t="shared" si="8"/>
        <v>30894</v>
      </c>
      <c r="H13" s="65">
        <f t="shared" si="8"/>
        <v>30894</v>
      </c>
      <c r="I13" s="65">
        <f t="shared" si="8"/>
        <v>30894</v>
      </c>
      <c r="J13" s="66">
        <f t="shared" si="8"/>
        <v>30894</v>
      </c>
    </row>
    <row r="14" spans="1:10" x14ac:dyDescent="0.35">
      <c r="A14" s="56" t="s">
        <v>35</v>
      </c>
      <c r="B14" s="65">
        <v>1415</v>
      </c>
      <c r="C14" s="65">
        <v>11765</v>
      </c>
      <c r="D14" s="65">
        <v>15052</v>
      </c>
      <c r="E14" s="65">
        <v>56179</v>
      </c>
      <c r="F14" s="65">
        <v>0</v>
      </c>
      <c r="G14" s="65">
        <v>0</v>
      </c>
      <c r="H14" s="65">
        <v>0</v>
      </c>
      <c r="I14" s="65">
        <v>0</v>
      </c>
      <c r="J14" s="66">
        <f>I14</f>
        <v>0</v>
      </c>
    </row>
    <row r="15" spans="1:10" x14ac:dyDescent="0.35">
      <c r="A15" s="56" t="s">
        <v>6</v>
      </c>
      <c r="B15" s="65">
        <v>8915</v>
      </c>
      <c r="C15" s="65">
        <v>12832</v>
      </c>
      <c r="D15" s="65">
        <v>8255</v>
      </c>
      <c r="E15" s="65">
        <v>12693</v>
      </c>
      <c r="F15" s="65">
        <f>NWC!F30</f>
        <v>13897.403070241424</v>
      </c>
      <c r="G15" s="65">
        <f>NWC!G30</f>
        <v>15248.657898898851</v>
      </c>
      <c r="H15" s="65">
        <f>NWC!H30</f>
        <v>16650.37800469658</v>
      </c>
      <c r="I15" s="65">
        <f>NWC!I30</f>
        <v>18185.84104094845</v>
      </c>
      <c r="J15" s="66">
        <f>NWC!J30</f>
        <v>19868.17554329479</v>
      </c>
    </row>
    <row r="16" spans="1:10" x14ac:dyDescent="0.35">
      <c r="A16" s="56" t="s">
        <v>7</v>
      </c>
      <c r="B16" s="65">
        <v>1363537</v>
      </c>
      <c r="C16" s="65">
        <v>1411479</v>
      </c>
      <c r="D16" s="65">
        <v>1602783</v>
      </c>
      <c r="E16" s="65">
        <v>2526966</v>
      </c>
      <c r="F16" s="65">
        <f ca="1">SUM(F9:F15)</f>
        <v>2799949.403277379</v>
      </c>
      <c r="G16" s="65">
        <f ca="1">SUM(G9:G15)</f>
        <v>2751131.0417271028</v>
      </c>
      <c r="H16" s="65">
        <f ca="1">SUM(H9:H15)</f>
        <v>2709907.2474346454</v>
      </c>
      <c r="I16" s="65">
        <f ca="1">SUM(I9:I15)</f>
        <v>2676256.6300200876</v>
      </c>
      <c r="J16" s="66">
        <f ca="1">SUM(J9:J15)</f>
        <v>2650133.9293715507</v>
      </c>
    </row>
    <row r="17" spans="1:10" x14ac:dyDescent="0.35">
      <c r="A17" s="56" t="s">
        <v>37</v>
      </c>
      <c r="B17" s="65"/>
      <c r="C17" s="65"/>
      <c r="D17" s="65"/>
      <c r="E17" s="65"/>
      <c r="F17" s="65"/>
      <c r="G17" s="65"/>
      <c r="H17" s="65"/>
      <c r="I17" s="65"/>
      <c r="J17" s="66"/>
    </row>
    <row r="18" spans="1:10" x14ac:dyDescent="0.35">
      <c r="A18" s="56" t="s">
        <v>36</v>
      </c>
      <c r="B18" s="65">
        <v>25767</v>
      </c>
      <c r="C18" s="65">
        <v>6234</v>
      </c>
      <c r="D18" s="65">
        <v>13109</v>
      </c>
      <c r="E18" s="65">
        <v>0</v>
      </c>
      <c r="F18" s="65">
        <f>'Debt Schedule'!C19+'Debt Schedule'!C25+'Debt Schedule'!C31</f>
        <v>17028.525000000001</v>
      </c>
      <c r="G18" s="65">
        <f ca="1">'Debt Schedule'!D19+'Debt Schedule'!D25+'Debt Schedule'!D31</f>
        <v>17028.525000000001</v>
      </c>
      <c r="H18" s="65">
        <f ca="1">'Debt Schedule'!E19+'Debt Schedule'!E25+'Debt Schedule'!E31</f>
        <v>17028.525000000001</v>
      </c>
      <c r="I18" s="65">
        <f ca="1">'Debt Schedule'!F19+'Debt Schedule'!F25+'Debt Schedule'!F31</f>
        <v>17028.525000000001</v>
      </c>
      <c r="J18" s="66">
        <f ca="1">'Debt Schedule'!G19+'Debt Schedule'!G25+'Debt Schedule'!G31</f>
        <v>17028.525000000001</v>
      </c>
    </row>
    <row r="19" spans="1:10" x14ac:dyDescent="0.35">
      <c r="A19" s="56" t="s">
        <v>8</v>
      </c>
      <c r="B19" s="65">
        <v>9683</v>
      </c>
      <c r="C19" s="65">
        <v>9282</v>
      </c>
      <c r="D19" s="65">
        <v>12371</v>
      </c>
      <c r="E19" s="65">
        <v>13910</v>
      </c>
      <c r="F19" s="65">
        <f>NWC!F12</f>
        <v>16800.172923737518</v>
      </c>
      <c r="G19" s="65">
        <f>NWC!G12</f>
        <v>17770.547759344277</v>
      </c>
      <c r="H19" s="65">
        <f>NWC!H12</f>
        <v>18088.223918073556</v>
      </c>
      <c r="I19" s="65">
        <f>NWC!I12</f>
        <v>19109.3871418118</v>
      </c>
      <c r="J19" s="66">
        <f>NWC!J12</f>
        <v>20451.166703206381</v>
      </c>
    </row>
    <row r="20" spans="1:10" x14ac:dyDescent="0.35">
      <c r="A20" s="56" t="s">
        <v>38</v>
      </c>
      <c r="B20" s="65">
        <v>66607</v>
      </c>
      <c r="C20" s="65">
        <v>59232</v>
      </c>
      <c r="D20" s="65">
        <v>72058</v>
      </c>
      <c r="E20" s="65">
        <v>99891</v>
      </c>
      <c r="F20" s="65">
        <f>NWC!F16</f>
        <v>94124.178507550867</v>
      </c>
      <c r="G20" s="65">
        <f>NWC!G16</f>
        <v>108505.74429909332</v>
      </c>
      <c r="H20" s="65">
        <f>NWC!H16</f>
        <v>119055.83845554575</v>
      </c>
      <c r="I20" s="65">
        <f>NWC!I16</f>
        <v>129999.94669000198</v>
      </c>
      <c r="J20" s="66">
        <f>NWC!J16</f>
        <v>141988.26988608245</v>
      </c>
    </row>
    <row r="21" spans="1:10" x14ac:dyDescent="0.35">
      <c r="A21" s="56" t="s">
        <v>39</v>
      </c>
      <c r="B21" s="65">
        <v>7925</v>
      </c>
      <c r="C21" s="65">
        <v>8115</v>
      </c>
      <c r="D21" s="65">
        <v>8376</v>
      </c>
      <c r="E21" s="65">
        <v>0</v>
      </c>
      <c r="F21" s="65">
        <v>0</v>
      </c>
      <c r="G21" s="65">
        <f t="shared" ref="G21:J21" si="9">F21</f>
        <v>0</v>
      </c>
      <c r="H21" s="65">
        <f t="shared" si="9"/>
        <v>0</v>
      </c>
      <c r="I21" s="65">
        <f t="shared" si="9"/>
        <v>0</v>
      </c>
      <c r="J21" s="66">
        <f t="shared" si="9"/>
        <v>0</v>
      </c>
    </row>
    <row r="22" spans="1:10" x14ac:dyDescent="0.35">
      <c r="A22" s="56" t="s">
        <v>40</v>
      </c>
      <c r="B22" s="65">
        <v>7926</v>
      </c>
      <c r="C22" s="65">
        <v>7471</v>
      </c>
      <c r="D22" s="65">
        <v>10114</v>
      </c>
      <c r="E22" s="65">
        <v>9202</v>
      </c>
      <c r="F22" s="65">
        <f>E22</f>
        <v>9202</v>
      </c>
      <c r="G22" s="65">
        <f t="shared" ref="G22:J22" si="10">F22</f>
        <v>9202</v>
      </c>
      <c r="H22" s="65">
        <f t="shared" si="10"/>
        <v>9202</v>
      </c>
      <c r="I22" s="65">
        <f t="shared" si="10"/>
        <v>9202</v>
      </c>
      <c r="J22" s="66">
        <f t="shared" si="10"/>
        <v>9202</v>
      </c>
    </row>
    <row r="23" spans="1:10" x14ac:dyDescent="0.35">
      <c r="A23" s="56" t="s">
        <v>41</v>
      </c>
      <c r="B23" s="65">
        <v>205021</v>
      </c>
      <c r="C23" s="65">
        <v>227670</v>
      </c>
      <c r="D23" s="65">
        <v>236090</v>
      </c>
      <c r="E23" s="65">
        <v>332142</v>
      </c>
      <c r="F23" s="65">
        <f>NWC!F14</f>
        <v>390954.45806806313</v>
      </c>
      <c r="G23" s="65">
        <f>NWC!G14</f>
        <v>410713.32501553494</v>
      </c>
      <c r="H23" s="65">
        <f>NWC!H14</f>
        <v>448467.80342342722</v>
      </c>
      <c r="I23" s="65">
        <f>NWC!I14</f>
        <v>478939.57594718557</v>
      </c>
      <c r="J23" s="66">
        <f>NWC!J14</f>
        <v>523245.28451138258</v>
      </c>
    </row>
    <row r="24" spans="1:10" x14ac:dyDescent="0.35">
      <c r="A24" s="56" t="s">
        <v>42</v>
      </c>
      <c r="B24" s="65">
        <v>322929</v>
      </c>
      <c r="C24" s="65">
        <v>318004</v>
      </c>
      <c r="D24" s="65">
        <v>352118</v>
      </c>
      <c r="E24" s="65">
        <v>455145</v>
      </c>
      <c r="F24" s="65">
        <f>SUM(F18:F23)</f>
        <v>528109.33449935145</v>
      </c>
      <c r="G24" s="65">
        <f ca="1">SUM(G18:G23)</f>
        <v>563220.1420739725</v>
      </c>
      <c r="H24" s="65">
        <f ca="1">SUM(H18:H23)</f>
        <v>611842.39079704648</v>
      </c>
      <c r="I24" s="65">
        <f ca="1">SUM(I18:I23)</f>
        <v>654279.4347789993</v>
      </c>
      <c r="J24" s="66">
        <f ca="1">SUM(J18:J23)</f>
        <v>711915.24610067136</v>
      </c>
    </row>
    <row r="25" spans="1:10" x14ac:dyDescent="0.35">
      <c r="A25" s="56" t="s">
        <v>44</v>
      </c>
      <c r="B25" s="65"/>
      <c r="C25" s="65"/>
      <c r="D25" s="65"/>
      <c r="E25" s="65"/>
      <c r="F25" s="65"/>
      <c r="G25" s="65"/>
      <c r="H25" s="65"/>
      <c r="I25" s="65"/>
      <c r="J25" s="66"/>
    </row>
    <row r="26" spans="1:10" x14ac:dyDescent="0.35">
      <c r="A26" s="56" t="s">
        <v>43</v>
      </c>
      <c r="B26" s="65">
        <v>239992</v>
      </c>
      <c r="C26" s="65">
        <v>259220</v>
      </c>
      <c r="D26" s="65">
        <v>356111</v>
      </c>
      <c r="E26" s="65">
        <v>730000</v>
      </c>
      <c r="F26" s="65">
        <f ca="1">'Debt Schedule'!C21+'Debt Schedule'!C26+'Debt Schedule'!C32</f>
        <v>1417385.04915668</v>
      </c>
      <c r="G26" s="65">
        <f ca="1">'Debt Schedule'!D21+'Debt Schedule'!D26+'Debt Schedule'!D32</f>
        <v>1378537.5759611919</v>
      </c>
      <c r="H26" s="65">
        <f ca="1">'Debt Schedule'!E21+'Debt Schedule'!E26+'Debt Schedule'!E32</f>
        <v>1345962.2358162608</v>
      </c>
      <c r="I26" s="65">
        <f ca="1">'Debt Schedule'!F21+'Debt Schedule'!F26+'Debt Schedule'!F32</f>
        <v>1299080.1886543296</v>
      </c>
      <c r="J26" s="66">
        <f ca="1">'Debt Schedule'!G21+'Debt Schedule'!G26+'Debt Schedule'!G32</f>
        <v>1264758.8437868394</v>
      </c>
    </row>
    <row r="27" spans="1:10" x14ac:dyDescent="0.35">
      <c r="A27" s="56" t="s">
        <v>45</v>
      </c>
      <c r="B27" s="65">
        <v>294535</v>
      </c>
      <c r="C27" s="65">
        <v>352625</v>
      </c>
      <c r="D27" s="65">
        <v>354772</v>
      </c>
      <c r="E27" s="65">
        <v>796267</v>
      </c>
      <c r="F27" s="65">
        <f t="shared" ref="F27:J27" si="11">E27</f>
        <v>796267</v>
      </c>
      <c r="G27" s="65">
        <f t="shared" si="11"/>
        <v>796267</v>
      </c>
      <c r="H27" s="65">
        <f t="shared" si="11"/>
        <v>796267</v>
      </c>
      <c r="I27" s="65">
        <f t="shared" si="11"/>
        <v>796267</v>
      </c>
      <c r="J27" s="66">
        <f t="shared" si="11"/>
        <v>796267</v>
      </c>
    </row>
    <row r="28" spans="1:10" x14ac:dyDescent="0.35">
      <c r="A28" s="56" t="s">
        <v>46</v>
      </c>
      <c r="B28" s="65">
        <v>23130</v>
      </c>
      <c r="C28" s="65">
        <v>15041</v>
      </c>
      <c r="D28" s="65">
        <v>13000</v>
      </c>
      <c r="E28" s="65">
        <v>26259</v>
      </c>
      <c r="F28" s="65">
        <f t="shared" ref="F28:J28" si="12">E28</f>
        <v>26259</v>
      </c>
      <c r="G28" s="65">
        <f t="shared" si="12"/>
        <v>26259</v>
      </c>
      <c r="H28" s="65">
        <f t="shared" si="12"/>
        <v>26259</v>
      </c>
      <c r="I28" s="65">
        <f t="shared" si="12"/>
        <v>26259</v>
      </c>
      <c r="J28" s="66">
        <f t="shared" si="12"/>
        <v>26259</v>
      </c>
    </row>
    <row r="29" spans="1:10" x14ac:dyDescent="0.35">
      <c r="A29" s="56" t="s">
        <v>47</v>
      </c>
      <c r="B29" s="65">
        <v>47359</v>
      </c>
      <c r="C29" s="65">
        <v>54770</v>
      </c>
      <c r="D29" s="65">
        <v>58946</v>
      </c>
      <c r="E29" s="65">
        <v>72270</v>
      </c>
      <c r="F29" s="65">
        <f>F30*IS!G8</f>
        <v>75055.100648386855</v>
      </c>
      <c r="G29" s="65">
        <f>G30*IS!H8</f>
        <v>82352.763863154658</v>
      </c>
      <c r="H29" s="65">
        <f>H30*IS!I8</f>
        <v>89922.972706474073</v>
      </c>
      <c r="I29" s="65">
        <f>I30*IS!J8</f>
        <v>98215.4811805598</v>
      </c>
      <c r="J29" s="66">
        <f>J30*IS!K8</f>
        <v>107301.19199715374</v>
      </c>
    </row>
    <row r="30" spans="1:10" x14ac:dyDescent="0.35">
      <c r="A30" s="42"/>
      <c r="B30" s="2">
        <f>B29/IS!C8</f>
        <v>8.9135782486029894E-2</v>
      </c>
      <c r="C30" s="2">
        <f>C29/IS!D8</f>
        <v>9.0978101801788336E-2</v>
      </c>
      <c r="D30" s="2">
        <f>D29/IS!E8</f>
        <v>8.4882905481978979E-2</v>
      </c>
      <c r="E30" s="2">
        <f>E29/IS!F8</f>
        <v>9.592399347499167E-2</v>
      </c>
      <c r="F30" s="2">
        <f>AVERAGE($B$30:$E$30)</f>
        <v>9.0230195811197206E-2</v>
      </c>
      <c r="G30" s="2">
        <f t="shared" ref="G30:J30" si="13">AVERAGE($B$30:$E$30)</f>
        <v>9.0230195811197206E-2</v>
      </c>
      <c r="H30" s="2">
        <f t="shared" si="13"/>
        <v>9.0230195811197206E-2</v>
      </c>
      <c r="I30" s="2">
        <f t="shared" si="13"/>
        <v>9.0230195811197206E-2</v>
      </c>
      <c r="J30" s="43">
        <f t="shared" si="13"/>
        <v>9.0230195811197206E-2</v>
      </c>
    </row>
    <row r="31" spans="1:10" x14ac:dyDescent="0.35">
      <c r="A31" s="56" t="s">
        <v>48</v>
      </c>
      <c r="B31" s="65">
        <v>14163</v>
      </c>
      <c r="C31" s="65">
        <v>4628</v>
      </c>
      <c r="D31" s="65">
        <v>3574</v>
      </c>
      <c r="E31" s="65">
        <v>2279</v>
      </c>
      <c r="F31" s="65">
        <v>0</v>
      </c>
      <c r="G31" s="65">
        <f>F31</f>
        <v>0</v>
      </c>
      <c r="H31" s="65">
        <f>G31</f>
        <v>0</v>
      </c>
      <c r="I31" s="65">
        <f>H31</f>
        <v>0</v>
      </c>
      <c r="J31" s="66">
        <f>I31</f>
        <v>0</v>
      </c>
    </row>
    <row r="32" spans="1:10" x14ac:dyDescent="0.35">
      <c r="A32" s="56" t="s">
        <v>49</v>
      </c>
      <c r="B32" s="65">
        <v>8940</v>
      </c>
      <c r="C32" s="65">
        <v>8687</v>
      </c>
      <c r="D32" s="65">
        <v>4547</v>
      </c>
      <c r="E32" s="65">
        <v>5958</v>
      </c>
      <c r="F32" s="65">
        <f>AVERAGE($B$32:$E$32)</f>
        <v>7033</v>
      </c>
      <c r="G32" s="65">
        <f t="shared" ref="G32:J32" si="14">AVERAGE($B$32:$E$32)</f>
        <v>7033</v>
      </c>
      <c r="H32" s="65">
        <f t="shared" si="14"/>
        <v>7033</v>
      </c>
      <c r="I32" s="65">
        <f t="shared" si="14"/>
        <v>7033</v>
      </c>
      <c r="J32" s="66">
        <f t="shared" si="14"/>
        <v>7033</v>
      </c>
    </row>
    <row r="33" spans="1:10" x14ac:dyDescent="0.35">
      <c r="A33" s="56" t="s">
        <v>185</v>
      </c>
      <c r="B33" s="65">
        <f t="shared" ref="B33" si="15">SUM(B26:B29,B31,B32)</f>
        <v>628119</v>
      </c>
      <c r="C33" s="65">
        <f t="shared" ref="C33" si="16">SUM(C26:C29,C31,C32)</f>
        <v>694971</v>
      </c>
      <c r="D33" s="65">
        <f t="shared" ref="D33" si="17">SUM(D26:D29,D31,D32)</f>
        <v>790950</v>
      </c>
      <c r="E33" s="65">
        <f t="shared" ref="E33" si="18">SUM(E26:E29,E31,E32)</f>
        <v>1633033</v>
      </c>
      <c r="F33" s="65">
        <f t="shared" ref="F33" ca="1" si="19">SUM(F26:F29,F31,F32)</f>
        <v>2321999.1498050666</v>
      </c>
      <c r="G33" s="65">
        <f t="shared" ref="G33" ca="1" si="20">SUM(G26:G29,G31,G32)</f>
        <v>2290449.3398243468</v>
      </c>
      <c r="H33" s="65">
        <f t="shared" ref="H33" ca="1" si="21">SUM(H26:H29,H31,H32)</f>
        <v>2265444.2085227347</v>
      </c>
      <c r="I33" s="65">
        <f t="shared" ref="I33" ca="1" si="22">SUM(I26:I29,I31,I32)</f>
        <v>2226854.6698348895</v>
      </c>
      <c r="J33" s="66">
        <f t="shared" ref="J33" ca="1" si="23">SUM(J26:J29,J31,J32)</f>
        <v>2201619.0357839931</v>
      </c>
    </row>
    <row r="34" spans="1:10" x14ac:dyDescent="0.35">
      <c r="A34" s="56" t="s">
        <v>184</v>
      </c>
      <c r="B34" s="65">
        <f t="shared" ref="B34" si="24">B24+B33</f>
        <v>951048</v>
      </c>
      <c r="C34" s="65">
        <f t="shared" ref="C34" si="25">C24+C33</f>
        <v>1012975</v>
      </c>
      <c r="D34" s="65">
        <f t="shared" ref="D34" si="26">D24+D33</f>
        <v>1143068</v>
      </c>
      <c r="E34" s="65">
        <f t="shared" ref="E34" si="27">E24+E33</f>
        <v>2088178</v>
      </c>
      <c r="F34" s="65">
        <f t="shared" ref="F34" ca="1" si="28">F24+F33</f>
        <v>2850108.4843044179</v>
      </c>
      <c r="G34" s="65">
        <f t="shared" ref="G34" ca="1" si="29">G24+G33</f>
        <v>2853669.4818983194</v>
      </c>
      <c r="H34" s="65">
        <f t="shared" ref="H34" ca="1" si="30">H24+H33</f>
        <v>2877286.5993197812</v>
      </c>
      <c r="I34" s="65">
        <f t="shared" ref="I34" ca="1" si="31">I24+I33</f>
        <v>2881134.104613889</v>
      </c>
      <c r="J34" s="66">
        <f t="shared" ref="J34" ca="1" si="32">J24+J33</f>
        <v>2913534.2818846647</v>
      </c>
    </row>
    <row r="35" spans="1:10" x14ac:dyDescent="0.35">
      <c r="A35" s="56" t="s">
        <v>50</v>
      </c>
      <c r="B35" s="65"/>
      <c r="C35" s="65"/>
      <c r="D35" s="65"/>
      <c r="E35" s="65"/>
      <c r="F35" s="65"/>
      <c r="G35" s="65"/>
      <c r="H35" s="65"/>
      <c r="I35" s="65"/>
      <c r="J35" s="66"/>
    </row>
    <row r="36" spans="1:10" x14ac:dyDescent="0.35">
      <c r="A36" s="56" t="s">
        <v>9</v>
      </c>
      <c r="B36" s="65">
        <v>441</v>
      </c>
      <c r="C36" s="65">
        <v>433</v>
      </c>
      <c r="D36" s="65">
        <v>438</v>
      </c>
      <c r="E36" s="65">
        <v>434</v>
      </c>
      <c r="F36" s="65">
        <f>E36</f>
        <v>434</v>
      </c>
      <c r="G36" s="65">
        <f>F36</f>
        <v>434</v>
      </c>
      <c r="H36" s="65">
        <f>G36</f>
        <v>434</v>
      </c>
      <c r="I36" s="65">
        <f>H36</f>
        <v>434</v>
      </c>
      <c r="J36" s="66">
        <f>I36</f>
        <v>434</v>
      </c>
    </row>
    <row r="37" spans="1:10" x14ac:dyDescent="0.35">
      <c r="A37" s="56" t="s">
        <v>10</v>
      </c>
      <c r="B37" s="65">
        <v>354235</v>
      </c>
      <c r="C37" s="65">
        <v>331650</v>
      </c>
      <c r="D37" s="65">
        <v>370579</v>
      </c>
      <c r="E37" s="65">
        <v>354158</v>
      </c>
      <c r="F37" s="65">
        <f>E37+CFS!G25+CFS!G26</f>
        <v>354158</v>
      </c>
      <c r="G37" s="65">
        <f>F37+CFS!H25+CFS!H26</f>
        <v>354158</v>
      </c>
      <c r="H37" s="65">
        <f>G37+CFS!I25+CFS!I26</f>
        <v>354158</v>
      </c>
      <c r="I37" s="65">
        <f>H37+CFS!J25+CFS!J26</f>
        <v>354158</v>
      </c>
      <c r="J37" s="66">
        <f>I37+CFS!K25+CFS!K26</f>
        <v>354158</v>
      </c>
    </row>
    <row r="38" spans="1:10" x14ac:dyDescent="0.35">
      <c r="A38" s="56" t="s">
        <v>11</v>
      </c>
      <c r="B38" s="65">
        <v>90256</v>
      </c>
      <c r="C38" s="65">
        <v>101656</v>
      </c>
      <c r="D38" s="65">
        <v>120858</v>
      </c>
      <c r="E38" s="65">
        <v>120405</v>
      </c>
      <c r="F38" s="65">
        <f ca="1">F16-F34-F36-F37-F39</f>
        <v>-368542.08102703886</v>
      </c>
      <c r="G38" s="65">
        <f ca="1">G16-G34-G36-G37-G39</f>
        <v>-420921.44017121661</v>
      </c>
      <c r="H38" s="65">
        <f ca="1">H16-H34-H36-H37-H39</f>
        <v>-485762.35188513575</v>
      </c>
      <c r="I38" s="65">
        <f ca="1">I16-I34-I36-I37-I39</f>
        <v>-523260.47459380142</v>
      </c>
      <c r="J38" s="66">
        <f ca="1">J16-J34-J36-J37-J39</f>
        <v>-581783.35251311399</v>
      </c>
    </row>
    <row r="39" spans="1:10" x14ac:dyDescent="0.35">
      <c r="A39" s="56" t="s">
        <v>12</v>
      </c>
      <c r="B39" s="65">
        <v>-32443</v>
      </c>
      <c r="C39" s="65">
        <v>-35235</v>
      </c>
      <c r="D39" s="65">
        <v>-32160</v>
      </c>
      <c r="E39" s="65">
        <v>-36209</v>
      </c>
      <c r="F39" s="65">
        <f>E39</f>
        <v>-36209</v>
      </c>
      <c r="G39" s="65">
        <f>F39</f>
        <v>-36209</v>
      </c>
      <c r="H39" s="65">
        <f>G39</f>
        <v>-36209</v>
      </c>
      <c r="I39" s="65">
        <f>H39</f>
        <v>-36209</v>
      </c>
      <c r="J39" s="66">
        <f>I39</f>
        <v>-36209</v>
      </c>
    </row>
    <row r="40" spans="1:10" x14ac:dyDescent="0.35">
      <c r="A40" s="56" t="s">
        <v>51</v>
      </c>
      <c r="B40" s="65">
        <v>412489</v>
      </c>
      <c r="C40" s="65">
        <v>398504</v>
      </c>
      <c r="D40" s="65">
        <v>459715</v>
      </c>
      <c r="E40" s="65">
        <v>438788</v>
      </c>
      <c r="F40" s="65">
        <f ca="1">SUM(F36:F39)</f>
        <v>-50159.081027038861</v>
      </c>
      <c r="G40" s="65">
        <f ca="1">SUM(G36:G39)</f>
        <v>-102538.44017121661</v>
      </c>
      <c r="H40" s="65">
        <f ca="1">SUM(H36:H39)</f>
        <v>-167379.35188513575</v>
      </c>
      <c r="I40" s="65">
        <f ca="1">SUM(I36:I39)</f>
        <v>-204877.47459380142</v>
      </c>
      <c r="J40" s="66">
        <f ca="1">SUM(J36:J39)</f>
        <v>-263400.35251311399</v>
      </c>
    </row>
    <row r="41" spans="1:10" x14ac:dyDescent="0.35">
      <c r="A41" s="61" t="s">
        <v>52</v>
      </c>
      <c r="B41" s="67">
        <v>1363537</v>
      </c>
      <c r="C41" s="67">
        <v>1411479</v>
      </c>
      <c r="D41" s="67">
        <v>1602783</v>
      </c>
      <c r="E41" s="67">
        <v>2526966</v>
      </c>
      <c r="F41" s="67">
        <f ca="1">F34+F40</f>
        <v>2799949.403277379</v>
      </c>
      <c r="G41" s="67">
        <f ca="1">G34+G40</f>
        <v>2751131.0417271028</v>
      </c>
      <c r="H41" s="67">
        <f ca="1">H34+H40</f>
        <v>2709907.2474346454</v>
      </c>
      <c r="I41" s="67">
        <f ca="1">I34+I40</f>
        <v>2676256.6300200876</v>
      </c>
      <c r="J41" s="68">
        <f ca="1">J34+J40</f>
        <v>2650133.9293715507</v>
      </c>
    </row>
    <row r="43" spans="1:10" x14ac:dyDescent="0.35">
      <c r="A43" t="s">
        <v>193</v>
      </c>
      <c r="B43">
        <f t="shared" ref="B43:J43" si="33">B16-B41</f>
        <v>0</v>
      </c>
      <c r="C43">
        <f t="shared" si="33"/>
        <v>0</v>
      </c>
      <c r="D43">
        <f t="shared" si="33"/>
        <v>0</v>
      </c>
      <c r="E43">
        <f t="shared" si="33"/>
        <v>0</v>
      </c>
      <c r="F43">
        <f t="shared" ca="1" si="33"/>
        <v>0</v>
      </c>
      <c r="G43">
        <f t="shared" ca="1" si="33"/>
        <v>0</v>
      </c>
      <c r="H43">
        <f t="shared" ca="1" si="33"/>
        <v>0</v>
      </c>
      <c r="I43">
        <f t="shared" ca="1" si="33"/>
        <v>0</v>
      </c>
      <c r="J43">
        <f t="shared" ca="1" si="33"/>
        <v>0</v>
      </c>
    </row>
  </sheetData>
  <mergeCells count="2">
    <mergeCell ref="B1:E1"/>
    <mergeCell ref="F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1B27-3C16-4E5C-B676-AAA408696B96}">
  <dimension ref="A1:K38"/>
  <sheetViews>
    <sheetView showGridLines="0" zoomScale="55" workbookViewId="0">
      <selection activeCell="K38" sqref="A3:K38"/>
    </sheetView>
  </sheetViews>
  <sheetFormatPr defaultRowHeight="14.5" x14ac:dyDescent="0.35"/>
  <cols>
    <col min="1" max="1" width="44.36328125" bestFit="1" customWidth="1"/>
    <col min="2" max="3" width="10.6328125" bestFit="1" customWidth="1"/>
    <col min="4" max="4" width="9.90625" bestFit="1" customWidth="1"/>
    <col min="5" max="6" width="10.6328125" bestFit="1" customWidth="1"/>
    <col min="7" max="11" width="9.54296875" bestFit="1" customWidth="1"/>
  </cols>
  <sheetData>
    <row r="1" spans="1:11" ht="15" thickBot="1" x14ac:dyDescent="0.4">
      <c r="B1" s="80" t="s">
        <v>181</v>
      </c>
      <c r="C1" s="80"/>
      <c r="D1" s="80"/>
      <c r="E1" s="80"/>
      <c r="F1" s="80"/>
      <c r="G1" s="81" t="s">
        <v>182</v>
      </c>
      <c r="H1" s="81"/>
      <c r="I1" s="81"/>
      <c r="J1" s="81"/>
      <c r="K1" s="81"/>
    </row>
    <row r="2" spans="1:11" x14ac:dyDescent="0.35">
      <c r="B2" s="51">
        <v>2020</v>
      </c>
      <c r="C2" s="51">
        <v>2021</v>
      </c>
      <c r="D2" s="51">
        <v>2022</v>
      </c>
      <c r="E2" s="51">
        <v>2023</v>
      </c>
      <c r="F2" s="51">
        <v>2024</v>
      </c>
      <c r="G2" s="5">
        <f>F2+1</f>
        <v>2025</v>
      </c>
      <c r="H2" s="5">
        <f t="shared" ref="H2:K2" si="0">G2+1</f>
        <v>2026</v>
      </c>
      <c r="I2" s="5">
        <f t="shared" si="0"/>
        <v>2027</v>
      </c>
      <c r="J2" s="5">
        <f t="shared" si="0"/>
        <v>2028</v>
      </c>
      <c r="K2" s="5">
        <f t="shared" si="0"/>
        <v>2029</v>
      </c>
    </row>
    <row r="3" spans="1:11" x14ac:dyDescent="0.35">
      <c r="A3" s="18" t="s">
        <v>98</v>
      </c>
      <c r="B3" s="9"/>
      <c r="C3" s="9"/>
      <c r="D3" s="9"/>
      <c r="E3" s="9"/>
      <c r="F3" s="9"/>
      <c r="G3" s="9"/>
      <c r="H3" s="9"/>
      <c r="I3" s="9"/>
      <c r="J3" s="9"/>
      <c r="K3" s="64"/>
    </row>
    <row r="4" spans="1:11" x14ac:dyDescent="0.35">
      <c r="A4" s="56" t="s">
        <v>26</v>
      </c>
      <c r="B4" s="12">
        <v>79722</v>
      </c>
      <c r="C4" s="12">
        <v>78420</v>
      </c>
      <c r="D4" s="12">
        <v>95069</v>
      </c>
      <c r="E4" s="12">
        <v>70197</v>
      </c>
      <c r="F4" s="12">
        <v>68438</v>
      </c>
      <c r="G4" s="12">
        <f ca="1">IS!G44</f>
        <v>41469.631619748448</v>
      </c>
      <c r="H4" s="12">
        <f ca="1">IS!H44</f>
        <v>69504.526763319445</v>
      </c>
      <c r="I4" s="12">
        <f ca="1">IS!I44</f>
        <v>97088.029824343001</v>
      </c>
      <c r="J4" s="12">
        <f ca="1">IS!J44</f>
        <v>116422.83445165552</v>
      </c>
      <c r="K4" s="58">
        <f ca="1">IS!K44</f>
        <v>136376.528310205</v>
      </c>
    </row>
    <row r="5" spans="1:11" x14ac:dyDescent="0.35">
      <c r="A5" s="56" t="s">
        <v>53</v>
      </c>
      <c r="B5" s="12">
        <v>6144</v>
      </c>
      <c r="C5" s="12">
        <v>5477</v>
      </c>
      <c r="D5" s="12">
        <v>5002</v>
      </c>
      <c r="E5" s="12">
        <v>6345</v>
      </c>
      <c r="F5" s="12">
        <v>6426</v>
      </c>
      <c r="G5" s="12">
        <f>'Fixed asset schedule'!H5</f>
        <v>4733.3739401397206</v>
      </c>
      <c r="H5" s="12">
        <f>'Fixed asset schedule'!I5</f>
        <v>4526.6659254042415</v>
      </c>
      <c r="I5" s="12">
        <f>'Fixed asset schedule'!J5</f>
        <v>4328.9849184429731</v>
      </c>
      <c r="J5" s="12">
        <f>'Fixed asset schedule'!K5</f>
        <v>4139.9367068231741</v>
      </c>
      <c r="K5" s="58">
        <f>'Fixed asset schedule'!L5</f>
        <v>3959.144293500196</v>
      </c>
    </row>
    <row r="6" spans="1:11" x14ac:dyDescent="0.35">
      <c r="A6" s="56"/>
      <c r="B6" s="12"/>
      <c r="C6" s="12"/>
      <c r="D6" s="12"/>
      <c r="E6" s="12"/>
      <c r="F6" s="12"/>
      <c r="G6" s="12"/>
      <c r="H6" s="12"/>
      <c r="I6" s="12"/>
      <c r="J6" s="12"/>
      <c r="K6" s="58"/>
    </row>
    <row r="7" spans="1:11" x14ac:dyDescent="0.35">
      <c r="A7" s="56" t="s">
        <v>54</v>
      </c>
      <c r="B7" s="12">
        <v>28621</v>
      </c>
      <c r="C7" s="12">
        <v>47507</v>
      </c>
      <c r="D7" s="12">
        <v>69730</v>
      </c>
      <c r="E7" s="12">
        <v>96802</v>
      </c>
      <c r="F7" s="12">
        <v>96618</v>
      </c>
      <c r="G7" s="12">
        <f>IS!G27+IS!G14</f>
        <v>94233.640995174588</v>
      </c>
      <c r="H7" s="12">
        <f>IS!H27+IS!H14</f>
        <v>80761.180251038008</v>
      </c>
      <c r="I7" s="12">
        <f>IS!I27+IS!I14</f>
        <v>68212.757144944058</v>
      </c>
      <c r="J7" s="12">
        <f>IS!J27+IS!J14</f>
        <v>71237.697836925276</v>
      </c>
      <c r="K7" s="58">
        <f>IS!K27+IS!K14</f>
        <v>76263.844359283656</v>
      </c>
    </row>
    <row r="8" spans="1:11" x14ac:dyDescent="0.35">
      <c r="A8" s="56" t="s">
        <v>55</v>
      </c>
      <c r="B8" s="12">
        <v>0</v>
      </c>
      <c r="C8" s="12">
        <v>8195</v>
      </c>
      <c r="D8" s="12">
        <v>2112</v>
      </c>
      <c r="E8" s="12">
        <v>2147</v>
      </c>
      <c r="F8" s="12">
        <v>3525</v>
      </c>
      <c r="G8" s="12">
        <v>0</v>
      </c>
      <c r="H8" s="12">
        <v>0</v>
      </c>
      <c r="I8" s="12">
        <v>0</v>
      </c>
      <c r="J8" s="12">
        <v>0</v>
      </c>
      <c r="K8" s="58">
        <v>0</v>
      </c>
    </row>
    <row r="9" spans="1:11" x14ac:dyDescent="0.35">
      <c r="A9" s="56" t="s">
        <v>56</v>
      </c>
      <c r="B9" s="12">
        <v>23482</v>
      </c>
      <c r="C9" s="12">
        <v>29724</v>
      </c>
      <c r="D9" s="12">
        <v>37094</v>
      </c>
      <c r="E9" s="12">
        <v>40529</v>
      </c>
      <c r="F9" s="12">
        <v>46756</v>
      </c>
      <c r="G9" s="12">
        <v>0</v>
      </c>
      <c r="H9" s="12">
        <v>0</v>
      </c>
      <c r="I9" s="12">
        <v>0</v>
      </c>
      <c r="J9" s="12">
        <v>0</v>
      </c>
      <c r="K9" s="58">
        <v>0</v>
      </c>
    </row>
    <row r="10" spans="1:11" x14ac:dyDescent="0.35">
      <c r="A10" s="56" t="s">
        <v>57</v>
      </c>
      <c r="B10" s="12">
        <v>8609</v>
      </c>
      <c r="C10" s="12">
        <v>10946</v>
      </c>
      <c r="D10" s="12">
        <v>7781</v>
      </c>
      <c r="E10" s="12">
        <v>9393</v>
      </c>
      <c r="F10" s="12">
        <v>11723</v>
      </c>
      <c r="G10" s="12">
        <v>0</v>
      </c>
      <c r="H10" s="12">
        <v>0</v>
      </c>
      <c r="I10" s="12">
        <v>0</v>
      </c>
      <c r="J10" s="12">
        <v>0</v>
      </c>
      <c r="K10" s="58">
        <v>0</v>
      </c>
    </row>
    <row r="11" spans="1:11" x14ac:dyDescent="0.35">
      <c r="A11" s="56" t="s">
        <v>58</v>
      </c>
      <c r="B11" s="12">
        <v>10682</v>
      </c>
      <c r="C11" s="12">
        <v>-10998</v>
      </c>
      <c r="D11" s="12">
        <v>-27254</v>
      </c>
      <c r="E11" s="12">
        <v>12119</v>
      </c>
      <c r="F11" s="12">
        <v>-45880</v>
      </c>
      <c r="G11" s="12">
        <f>NWC!E3-NWC!F3+(NWC!E5-NWC!F5)</f>
        <v>-20459.307326995957</v>
      </c>
      <c r="H11" s="12">
        <f>NWC!F3-NWC!G3+(NWC!F5-NWC!G5)</f>
        <v>-21264.976797446026</v>
      </c>
      <c r="I11" s="12">
        <f>NWC!G3-NWC!H3+(NWC!G5-NWC!H5)</f>
        <v>-22059.159304480148</v>
      </c>
      <c r="J11" s="12">
        <f>NWC!H3-NWC!I3+(NWC!H5-NWC!I5)</f>
        <v>-24163.899470889439</v>
      </c>
      <c r="K11" s="58">
        <f>NWC!I3-NWC!J3+(NWC!I5-NWC!J5)</f>
        <v>-26475.246118811432</v>
      </c>
    </row>
    <row r="12" spans="1:11" x14ac:dyDescent="0.35">
      <c r="A12" s="56" t="s">
        <v>59</v>
      </c>
      <c r="B12" s="12">
        <v>1561</v>
      </c>
      <c r="C12" s="12">
        <v>-15105</v>
      </c>
      <c r="D12" s="12">
        <v>-2214</v>
      </c>
      <c r="E12" s="12">
        <v>-1579</v>
      </c>
      <c r="F12" s="12">
        <v>-2897</v>
      </c>
      <c r="G12" s="12">
        <f>NWC!E7-NWC!F7</f>
        <v>-5462.6501478529681</v>
      </c>
      <c r="H12" s="12">
        <f>NWC!F7-NWC!G7</f>
        <v>-5634.6820118236647</v>
      </c>
      <c r="I12" s="12">
        <f>NWC!G7-NWC!H7</f>
        <v>-5845.1203268576064</v>
      </c>
      <c r="J12" s="12">
        <f>NWC!H7-NWC!I7</f>
        <v>-6402.8233362798055</v>
      </c>
      <c r="K12" s="58">
        <f>NWC!I7-NWC!J7</f>
        <v>-7015.2718474721332</v>
      </c>
    </row>
    <row r="13" spans="1:11" x14ac:dyDescent="0.35">
      <c r="A13" s="56" t="s">
        <v>60</v>
      </c>
      <c r="B13" s="12">
        <v>0</v>
      </c>
      <c r="C13" s="12">
        <v>245</v>
      </c>
      <c r="D13" s="12">
        <v>-1556</v>
      </c>
      <c r="E13" s="12">
        <v>2489</v>
      </c>
      <c r="F13" s="12">
        <v>0</v>
      </c>
      <c r="G13" s="12">
        <f>F13</f>
        <v>0</v>
      </c>
      <c r="H13" s="12">
        <f t="shared" ref="H13:K13" si="1">G13</f>
        <v>0</v>
      </c>
      <c r="I13" s="12">
        <f t="shared" si="1"/>
        <v>0</v>
      </c>
      <c r="J13" s="12">
        <f t="shared" si="1"/>
        <v>0</v>
      </c>
      <c r="K13" s="58">
        <f t="shared" si="1"/>
        <v>0</v>
      </c>
    </row>
    <row r="14" spans="1:11" x14ac:dyDescent="0.35">
      <c r="A14" s="56" t="s">
        <v>61</v>
      </c>
      <c r="B14" s="12">
        <v>-4974</v>
      </c>
      <c r="C14" s="12">
        <v>5486</v>
      </c>
      <c r="D14" s="12">
        <v>-3583</v>
      </c>
      <c r="E14" s="12">
        <v>-1242</v>
      </c>
      <c r="F14" s="12">
        <v>28922</v>
      </c>
      <c r="G14" s="12">
        <f>NWC!F12-NWC!E12</f>
        <v>2890.1729237375184</v>
      </c>
      <c r="H14" s="12">
        <f>NWC!G12-NWC!F12</f>
        <v>970.37483560675901</v>
      </c>
      <c r="I14" s="12">
        <f>NWC!H12-NWC!G12</f>
        <v>317.67615872927854</v>
      </c>
      <c r="J14" s="12">
        <f>NWC!I12-NWC!H12</f>
        <v>1021.1632237382437</v>
      </c>
      <c r="K14" s="58">
        <f>NWC!J12-NWC!I12</f>
        <v>1341.7795613945818</v>
      </c>
    </row>
    <row r="15" spans="1:11" x14ac:dyDescent="0.35">
      <c r="A15" s="56" t="s">
        <v>62</v>
      </c>
      <c r="B15" s="12">
        <v>1420</v>
      </c>
      <c r="C15" s="12">
        <v>30473</v>
      </c>
      <c r="D15" s="12">
        <v>36268</v>
      </c>
      <c r="E15" s="12">
        <v>-24102</v>
      </c>
      <c r="F15" s="12">
        <v>16183</v>
      </c>
      <c r="G15" s="12">
        <f>NWC!F14-NWC!E14</f>
        <v>58812.458068063133</v>
      </c>
      <c r="H15" s="12">
        <f>NWC!G14-NWC!F14</f>
        <v>19758.866947471804</v>
      </c>
      <c r="I15" s="12">
        <f>NWC!H14-NWC!G14</f>
        <v>37754.478407892282</v>
      </c>
      <c r="J15" s="12">
        <f>NWC!I14-NWC!H14</f>
        <v>30471.772523758351</v>
      </c>
      <c r="K15" s="58">
        <f>NWC!J14-NWC!I14</f>
        <v>44305.708564197004</v>
      </c>
    </row>
    <row r="16" spans="1:11" x14ac:dyDescent="0.35">
      <c r="A16" s="56" t="s">
        <v>170</v>
      </c>
      <c r="B16" s="12"/>
      <c r="C16" s="12"/>
      <c r="D16" s="12">
        <f>NWC!C32</f>
        <v>-3917</v>
      </c>
      <c r="E16" s="12">
        <f>NWC!D32</f>
        <v>4577</v>
      </c>
      <c r="F16" s="12">
        <f>NWC!E32</f>
        <v>-4438</v>
      </c>
      <c r="G16" s="12">
        <f>NWC!F32</f>
        <v>-1204.4030702414238</v>
      </c>
      <c r="H16" s="12">
        <f>NWC!G32</f>
        <v>-1351.2548286574274</v>
      </c>
      <c r="I16" s="12">
        <f>NWC!H32</f>
        <v>-1401.720105797729</v>
      </c>
      <c r="J16" s="12">
        <f>NWC!I32</f>
        <v>-1535.4630362518692</v>
      </c>
      <c r="K16" s="58">
        <f>NWC!J32</f>
        <v>-1682.3345023463407</v>
      </c>
    </row>
    <row r="17" spans="1:11" x14ac:dyDescent="0.35">
      <c r="A17" s="56" t="s">
        <v>63</v>
      </c>
      <c r="B17" s="12">
        <v>144847</v>
      </c>
      <c r="C17" s="12">
        <v>178530</v>
      </c>
      <c r="D17" s="12">
        <v>192160</v>
      </c>
      <c r="E17" s="12">
        <v>173920</v>
      </c>
      <c r="F17" s="12">
        <v>211494</v>
      </c>
      <c r="G17" s="12">
        <f>SUM(G5:G16)</f>
        <v>133543.28538202462</v>
      </c>
      <c r="H17" s="12">
        <f t="shared" ref="H17:K17" si="2">SUM(H5:H16)</f>
        <v>77766.174321593688</v>
      </c>
      <c r="I17" s="12">
        <f t="shared" si="2"/>
        <v>81307.896892873105</v>
      </c>
      <c r="J17" s="12">
        <f t="shared" si="2"/>
        <v>74768.384447823948</v>
      </c>
      <c r="K17" s="58">
        <f t="shared" si="2"/>
        <v>90697.62430974553</v>
      </c>
    </row>
    <row r="18" spans="1:11" x14ac:dyDescent="0.35">
      <c r="A18" s="59" t="s">
        <v>99</v>
      </c>
      <c r="B18" s="12"/>
      <c r="C18" s="12"/>
      <c r="D18" s="12"/>
      <c r="E18" s="12"/>
      <c r="F18" s="12"/>
      <c r="G18" s="12"/>
      <c r="H18" s="12"/>
      <c r="I18" s="12"/>
      <c r="J18" s="12"/>
      <c r="K18" s="58"/>
    </row>
    <row r="19" spans="1:11" x14ac:dyDescent="0.35">
      <c r="A19" s="56" t="s">
        <v>64</v>
      </c>
      <c r="B19" s="12">
        <v>-5009</v>
      </c>
      <c r="C19" s="12">
        <v>0</v>
      </c>
      <c r="D19" s="12">
        <v>0</v>
      </c>
      <c r="E19" s="12">
        <v>-15262</v>
      </c>
      <c r="F19" s="12">
        <v>0</v>
      </c>
      <c r="G19" s="12">
        <f>F19</f>
        <v>0</v>
      </c>
      <c r="H19" s="12">
        <f t="shared" ref="H19:K19" si="3">G19</f>
        <v>0</v>
      </c>
      <c r="I19" s="12">
        <f t="shared" si="3"/>
        <v>0</v>
      </c>
      <c r="J19" s="12">
        <f t="shared" si="3"/>
        <v>0</v>
      </c>
      <c r="K19" s="58">
        <f t="shared" si="3"/>
        <v>0</v>
      </c>
    </row>
    <row r="20" spans="1:11" x14ac:dyDescent="0.35">
      <c r="A20" s="56" t="s">
        <v>65</v>
      </c>
      <c r="B20" s="12">
        <v>-6517</v>
      </c>
      <c r="C20" s="12">
        <v>-4654</v>
      </c>
      <c r="D20" s="12">
        <v>-6090</v>
      </c>
      <c r="E20" s="12">
        <v>-5570</v>
      </c>
      <c r="F20" s="12">
        <v>-5206</v>
      </c>
      <c r="G20" s="12">
        <f>-'Fixed asset schedule'!H4</f>
        <v>-4186.359352802855</v>
      </c>
      <c r="H20" s="12">
        <f>-'Fixed asset schedule'!I4</f>
        <v>-4003.5396470853643</v>
      </c>
      <c r="I20" s="12">
        <f>-'Fixed asset schedule'!J4</f>
        <v>-3828.703738739749</v>
      </c>
      <c r="J20" s="12">
        <f>-'Fixed asset schedule'!K4</f>
        <v>-3661.5029726786088</v>
      </c>
      <c r="K20" s="58">
        <f>-'Fixed asset schedule'!L4</f>
        <v>-3501.6039196982083</v>
      </c>
    </row>
    <row r="21" spans="1:11" x14ac:dyDescent="0.35">
      <c r="A21" s="56" t="s">
        <v>66</v>
      </c>
      <c r="B21" s="12">
        <v>-213057</v>
      </c>
      <c r="C21" s="12">
        <v>-253961</v>
      </c>
      <c r="D21" s="12">
        <v>0</v>
      </c>
      <c r="E21" s="12">
        <v>-355250</v>
      </c>
      <c r="F21" s="12">
        <v>-852702</v>
      </c>
      <c r="G21" s="12"/>
      <c r="H21" s="12"/>
      <c r="I21" s="12"/>
      <c r="J21" s="12"/>
      <c r="K21" s="58"/>
    </row>
    <row r="22" spans="1:11" x14ac:dyDescent="0.35">
      <c r="A22" s="56" t="s">
        <v>67</v>
      </c>
      <c r="B22" s="12">
        <v>-207293</v>
      </c>
      <c r="C22" s="12">
        <v>-250335</v>
      </c>
      <c r="D22" s="12">
        <v>21992</v>
      </c>
      <c r="E22" s="12">
        <v>-360382</v>
      </c>
      <c r="F22" s="12">
        <v>-857908</v>
      </c>
      <c r="G22" s="12">
        <f>SUM(G19:G21)</f>
        <v>-4186.359352802855</v>
      </c>
      <c r="H22" s="12">
        <f t="shared" ref="H22:K22" si="4">SUM(H19:H21)</f>
        <v>-4003.5396470853643</v>
      </c>
      <c r="I22" s="12">
        <f t="shared" si="4"/>
        <v>-3828.703738739749</v>
      </c>
      <c r="J22" s="12">
        <f t="shared" si="4"/>
        <v>-3661.5029726786088</v>
      </c>
      <c r="K22" s="58">
        <f t="shared" si="4"/>
        <v>-3501.6039196982083</v>
      </c>
    </row>
    <row r="23" spans="1:11" x14ac:dyDescent="0.35">
      <c r="A23" s="59" t="s">
        <v>100</v>
      </c>
      <c r="B23" s="12"/>
      <c r="C23" s="12"/>
      <c r="D23" s="12"/>
      <c r="E23" s="12"/>
      <c r="F23" s="12"/>
      <c r="G23" s="12"/>
      <c r="H23" s="12"/>
      <c r="I23" s="12"/>
      <c r="J23" s="12"/>
      <c r="K23" s="58"/>
    </row>
    <row r="24" spans="1:11" x14ac:dyDescent="0.35">
      <c r="A24" s="56" t="s">
        <v>68</v>
      </c>
      <c r="B24" s="12">
        <v>11099</v>
      </c>
      <c r="C24" s="12">
        <v>15033</v>
      </c>
      <c r="D24" s="12">
        <v>16165</v>
      </c>
      <c r="E24" s="12">
        <v>25956</v>
      </c>
      <c r="F24" s="12">
        <v>27761</v>
      </c>
      <c r="G24" s="12">
        <f>F24</f>
        <v>27761</v>
      </c>
      <c r="H24" s="12">
        <f t="shared" ref="H24:K24" si="5">G24</f>
        <v>27761</v>
      </c>
      <c r="I24" s="12">
        <f t="shared" si="5"/>
        <v>27761</v>
      </c>
      <c r="J24" s="12">
        <f t="shared" si="5"/>
        <v>27761</v>
      </c>
      <c r="K24" s="58">
        <f t="shared" si="5"/>
        <v>27761</v>
      </c>
    </row>
    <row r="25" spans="1:11" x14ac:dyDescent="0.35">
      <c r="A25" s="56" t="s">
        <v>69</v>
      </c>
      <c r="B25" s="12">
        <v>-60000</v>
      </c>
      <c r="C25" s="12">
        <v>-35000</v>
      </c>
      <c r="D25" s="12">
        <v>-77041</v>
      </c>
      <c r="E25" s="12">
        <v>-33962</v>
      </c>
      <c r="F25" s="12">
        <v>-86777</v>
      </c>
      <c r="G25" s="12">
        <v>0</v>
      </c>
      <c r="H25" s="12">
        <v>0</v>
      </c>
      <c r="I25" s="12">
        <v>0</v>
      </c>
      <c r="J25" s="12">
        <v>0</v>
      </c>
      <c r="K25" s="58">
        <v>0</v>
      </c>
    </row>
    <row r="26" spans="1:11" x14ac:dyDescent="0.35">
      <c r="A26" s="56" t="s">
        <v>70</v>
      </c>
      <c r="B26" s="12">
        <v>0</v>
      </c>
      <c r="C26" s="12">
        <v>350100</v>
      </c>
      <c r="D26" s="12">
        <v>0</v>
      </c>
      <c r="E26" s="12">
        <v>0</v>
      </c>
      <c r="F26" s="12">
        <v>438750</v>
      </c>
      <c r="G26" s="12">
        <v>0</v>
      </c>
      <c r="H26" s="12">
        <v>0</v>
      </c>
      <c r="I26" s="12">
        <v>0</v>
      </c>
      <c r="J26" s="12">
        <v>0</v>
      </c>
      <c r="K26" s="58">
        <v>0</v>
      </c>
    </row>
    <row r="27" spans="1:11" x14ac:dyDescent="0.35">
      <c r="A27" s="56" t="s">
        <v>71</v>
      </c>
      <c r="B27" s="12">
        <v>0</v>
      </c>
      <c r="C27" s="12">
        <v>-43056</v>
      </c>
      <c r="D27" s="12">
        <v>0</v>
      </c>
      <c r="E27" s="12">
        <v>0</v>
      </c>
      <c r="F27" s="12">
        <v>-42210</v>
      </c>
      <c r="G27" s="12">
        <v>0</v>
      </c>
      <c r="H27" s="12">
        <v>0</v>
      </c>
      <c r="I27" s="12">
        <v>0</v>
      </c>
      <c r="J27" s="12">
        <v>0</v>
      </c>
      <c r="K27" s="58">
        <v>0</v>
      </c>
    </row>
    <row r="28" spans="1:11" x14ac:dyDescent="0.35">
      <c r="A28" s="56" t="s">
        <v>72</v>
      </c>
      <c r="B28" s="12">
        <v>-29900</v>
      </c>
      <c r="C28" s="12">
        <v>-31561</v>
      </c>
      <c r="D28" s="12">
        <v>-31063</v>
      </c>
      <c r="E28" s="12">
        <v>-31554</v>
      </c>
      <c r="F28" s="12">
        <v>-31460</v>
      </c>
      <c r="G28" s="12">
        <f>F28</f>
        <v>-31460</v>
      </c>
      <c r="H28" s="12">
        <f t="shared" ref="H28:K28" si="6">G28</f>
        <v>-31460</v>
      </c>
      <c r="I28" s="12">
        <f t="shared" si="6"/>
        <v>-31460</v>
      </c>
      <c r="J28" s="12">
        <f t="shared" si="6"/>
        <v>-31460</v>
      </c>
      <c r="K28" s="58">
        <f t="shared" si="6"/>
        <v>-31460</v>
      </c>
    </row>
    <row r="29" spans="1:11" x14ac:dyDescent="0.35">
      <c r="A29" s="56" t="s">
        <v>73</v>
      </c>
      <c r="B29" s="12">
        <v>98500</v>
      </c>
      <c r="C29" s="12">
        <v>0</v>
      </c>
      <c r="D29" s="12">
        <v>7475</v>
      </c>
      <c r="E29" s="12">
        <v>195000</v>
      </c>
      <c r="F29" s="12">
        <v>730000</v>
      </c>
      <c r="G29" s="12">
        <v>0</v>
      </c>
      <c r="H29" s="12">
        <v>0</v>
      </c>
      <c r="I29" s="12">
        <v>0</v>
      </c>
      <c r="J29" s="12">
        <v>0</v>
      </c>
      <c r="K29" s="58">
        <v>0</v>
      </c>
    </row>
    <row r="30" spans="1:11" x14ac:dyDescent="0.35">
      <c r="A30" s="56" t="s">
        <v>74</v>
      </c>
      <c r="B30" s="12">
        <v>0</v>
      </c>
      <c r="C30" s="12">
        <v>0</v>
      </c>
      <c r="D30" s="12">
        <v>0</v>
      </c>
      <c r="E30" s="12">
        <v>-85000</v>
      </c>
      <c r="F30" s="12">
        <v>-110000</v>
      </c>
      <c r="G30" s="12">
        <f ca="1">-'Debt Schedule'!C12</f>
        <v>0</v>
      </c>
      <c r="H30" s="12">
        <f ca="1">-'Debt Schedule'!D12</f>
        <v>0</v>
      </c>
      <c r="I30" s="12">
        <f ca="1">-'Debt Schedule'!E12</f>
        <v>0</v>
      </c>
      <c r="J30" s="12">
        <f ca="1">-'Debt Schedule'!F12</f>
        <v>0</v>
      </c>
      <c r="K30" s="58">
        <f ca="1">-'Debt Schedule'!G12</f>
        <v>0</v>
      </c>
    </row>
    <row r="31" spans="1:11" x14ac:dyDescent="0.35">
      <c r="A31" s="56" t="s">
        <v>75</v>
      </c>
      <c r="B31" s="12">
        <v>-11288</v>
      </c>
      <c r="C31" s="12">
        <v>-117313</v>
      </c>
      <c r="D31" s="12">
        <v>-6873</v>
      </c>
      <c r="E31" s="12">
        <v>-6875</v>
      </c>
      <c r="F31" s="12">
        <v>-261250</v>
      </c>
      <c r="G31" s="12">
        <f>-'Debt Schedule'!C5</f>
        <v>-17028.525000000001</v>
      </c>
      <c r="H31" s="12">
        <f ca="1">-'Debt Schedule'!D5</f>
        <v>-17028.525000000001</v>
      </c>
      <c r="I31" s="12">
        <f ca="1">-'Debt Schedule'!E5</f>
        <v>-17028.525000000001</v>
      </c>
      <c r="J31" s="12">
        <f ca="1">-'Debt Schedule'!F5</f>
        <v>-17028.525000000001</v>
      </c>
      <c r="K31" s="58">
        <f ca="1">-'Debt Schedule'!G5</f>
        <v>-17028.525000000001</v>
      </c>
    </row>
    <row r="32" spans="1:11" x14ac:dyDescent="0.35">
      <c r="A32" s="56" t="s">
        <v>76</v>
      </c>
      <c r="B32" s="12">
        <v>0</v>
      </c>
      <c r="C32" s="12">
        <v>-904</v>
      </c>
      <c r="D32" s="12">
        <v>-2262</v>
      </c>
      <c r="E32" s="12">
        <v>0</v>
      </c>
      <c r="F32" s="12">
        <v>-6821</v>
      </c>
      <c r="G32" s="12"/>
      <c r="H32" s="12"/>
      <c r="I32" s="12"/>
      <c r="J32" s="12"/>
      <c r="K32" s="58"/>
    </row>
    <row r="33" spans="1:11" x14ac:dyDescent="0.35">
      <c r="A33" s="56" t="s">
        <v>77</v>
      </c>
      <c r="B33" s="12">
        <v>3080</v>
      </c>
      <c r="C33" s="12">
        <v>132113</v>
      </c>
      <c r="D33" s="12">
        <v>-101423</v>
      </c>
      <c r="E33" s="12">
        <v>51188</v>
      </c>
      <c r="F33" s="12">
        <v>640823</v>
      </c>
      <c r="G33" s="12">
        <f ca="1">SUM(G24:G32)</f>
        <v>-20727.525000000001</v>
      </c>
      <c r="H33" s="12">
        <f t="shared" ref="H33:K33" ca="1" si="7">SUM(H24:H32)</f>
        <v>-20727.525000000001</v>
      </c>
      <c r="I33" s="12">
        <f t="shared" ca="1" si="7"/>
        <v>-20727.525000000001</v>
      </c>
      <c r="J33" s="12">
        <f t="shared" ca="1" si="7"/>
        <v>-20727.525000000001</v>
      </c>
      <c r="K33" s="58">
        <f t="shared" ca="1" si="7"/>
        <v>-20727.525000000001</v>
      </c>
    </row>
    <row r="34" spans="1:11" x14ac:dyDescent="0.35">
      <c r="A34" s="56"/>
      <c r="B34" s="12"/>
      <c r="C34" s="12"/>
      <c r="D34" s="12"/>
      <c r="E34" s="12"/>
      <c r="F34" s="12"/>
      <c r="G34" s="12"/>
      <c r="H34" s="12"/>
      <c r="I34" s="12"/>
      <c r="J34" s="12"/>
      <c r="K34" s="58"/>
    </row>
    <row r="35" spans="1:11" x14ac:dyDescent="0.35">
      <c r="A35" s="56" t="s">
        <v>78</v>
      </c>
      <c r="B35" s="12">
        <v>3097</v>
      </c>
      <c r="C35" s="12">
        <v>-2892</v>
      </c>
      <c r="D35" s="12">
        <v>-11858</v>
      </c>
      <c r="E35" s="12">
        <v>5955</v>
      </c>
      <c r="F35" s="12">
        <v>-3290</v>
      </c>
      <c r="G35" s="12">
        <v>0</v>
      </c>
      <c r="H35" s="12">
        <v>0</v>
      </c>
      <c r="I35" s="12">
        <v>0</v>
      </c>
      <c r="J35" s="12">
        <v>0</v>
      </c>
      <c r="K35" s="58">
        <v>0</v>
      </c>
    </row>
    <row r="36" spans="1:11" x14ac:dyDescent="0.35">
      <c r="A36" s="56" t="s">
        <v>79</v>
      </c>
      <c r="B36" s="12">
        <v>-56269</v>
      </c>
      <c r="C36" s="12">
        <v>57416</v>
      </c>
      <c r="D36" s="12">
        <v>100871</v>
      </c>
      <c r="E36" s="12">
        <v>-129319</v>
      </c>
      <c r="F36" s="12">
        <v>-8881</v>
      </c>
      <c r="G36" s="12">
        <f ca="1">G38-G37</f>
        <v>-9447.5989707782282</v>
      </c>
      <c r="H36" s="12">
        <f t="shared" ref="H36:K36" ca="1" si="8">H38-H37</f>
        <v>-55594.291354713452</v>
      </c>
      <c r="I36" s="12">
        <f t="shared" ca="1" si="8"/>
        <v>3716.5584796250332</v>
      </c>
      <c r="J36" s="12">
        <f t="shared" ca="1" si="8"/>
        <v>-6372.311678988015</v>
      </c>
      <c r="K36" s="58">
        <f t="shared" ca="1" si="8"/>
        <v>16089.138914901981</v>
      </c>
    </row>
    <row r="37" spans="1:11" x14ac:dyDescent="0.35">
      <c r="A37" s="56" t="s">
        <v>80</v>
      </c>
      <c r="B37" s="12">
        <v>154259</v>
      </c>
      <c r="C37" s="12">
        <v>97990</v>
      </c>
      <c r="D37" s="12">
        <v>155406</v>
      </c>
      <c r="E37" s="12">
        <v>256277</v>
      </c>
      <c r="F37" s="12">
        <v>126958</v>
      </c>
      <c r="G37" s="12">
        <f>F38</f>
        <v>118077</v>
      </c>
      <c r="H37" s="12">
        <f t="shared" ref="H37:K37" ca="1" si="9">G38</f>
        <v>108629.40102922177</v>
      </c>
      <c r="I37" s="12">
        <f t="shared" ca="1" si="9"/>
        <v>53035.10967450832</v>
      </c>
      <c r="J37" s="12">
        <f t="shared" ca="1" si="9"/>
        <v>56751.668154133353</v>
      </c>
      <c r="K37" s="58">
        <f t="shared" ca="1" si="9"/>
        <v>50379.356475145338</v>
      </c>
    </row>
    <row r="38" spans="1:11" x14ac:dyDescent="0.35">
      <c r="A38" s="61" t="s">
        <v>81</v>
      </c>
      <c r="B38" s="62">
        <v>97990</v>
      </c>
      <c r="C38" s="62">
        <v>155406</v>
      </c>
      <c r="D38" s="62">
        <v>256277</v>
      </c>
      <c r="E38" s="62">
        <v>126958</v>
      </c>
      <c r="F38" s="62">
        <v>118077</v>
      </c>
      <c r="G38" s="62">
        <f ca="1">G33+G22+G17</f>
        <v>108629.40102922177</v>
      </c>
      <c r="H38" s="62">
        <f t="shared" ref="H38:K38" ca="1" si="10">H33+H22+H17</f>
        <v>53035.10967450832</v>
      </c>
      <c r="I38" s="62">
        <f t="shared" ca="1" si="10"/>
        <v>56751.668154133353</v>
      </c>
      <c r="J38" s="62">
        <f t="shared" ca="1" si="10"/>
        <v>50379.356475145338</v>
      </c>
      <c r="K38" s="63">
        <f t="shared" ca="1" si="10"/>
        <v>66468.495390047319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3292-E8D4-4D55-B48E-286EAB0A2493}">
  <dimension ref="A1:J32"/>
  <sheetViews>
    <sheetView showGridLines="0" zoomScale="69" workbookViewId="0">
      <selection activeCell="K27" sqref="K27"/>
    </sheetView>
  </sheetViews>
  <sheetFormatPr defaultRowHeight="14.5" x14ac:dyDescent="0.35"/>
  <cols>
    <col min="1" max="1" width="21.6328125" bestFit="1" customWidth="1"/>
    <col min="2" max="2" width="9.36328125" bestFit="1" customWidth="1"/>
    <col min="3" max="10" width="10" bestFit="1" customWidth="1"/>
  </cols>
  <sheetData>
    <row r="1" spans="1:10" ht="15" thickBot="1" x14ac:dyDescent="0.4">
      <c r="B1" s="80" t="s">
        <v>160</v>
      </c>
      <c r="C1" s="80"/>
      <c r="D1" s="80"/>
      <c r="E1" s="80"/>
      <c r="F1" s="81" t="s">
        <v>161</v>
      </c>
      <c r="G1" s="81"/>
      <c r="H1" s="81"/>
      <c r="I1" s="81"/>
      <c r="J1" s="81"/>
    </row>
    <row r="2" spans="1:10" x14ac:dyDescent="0.35">
      <c r="B2" s="51">
        <v>2021</v>
      </c>
      <c r="C2" s="51">
        <f>B2+1</f>
        <v>2022</v>
      </c>
      <c r="D2" s="51">
        <f t="shared" ref="D2:J2" si="0">C2+1</f>
        <v>2023</v>
      </c>
      <c r="E2" s="51">
        <f t="shared" si="0"/>
        <v>2024</v>
      </c>
      <c r="F2" s="5">
        <f t="shared" si="0"/>
        <v>2025</v>
      </c>
      <c r="G2" s="5">
        <f t="shared" si="0"/>
        <v>2026</v>
      </c>
      <c r="H2" s="5">
        <f t="shared" si="0"/>
        <v>2027</v>
      </c>
      <c r="I2" s="5">
        <f t="shared" si="0"/>
        <v>2028</v>
      </c>
      <c r="J2" s="5">
        <f t="shared" si="0"/>
        <v>2029</v>
      </c>
    </row>
    <row r="3" spans="1:10" x14ac:dyDescent="0.35">
      <c r="A3" s="53" t="str">
        <f>BS!A5</f>
        <v>Accounts receivable</v>
      </c>
      <c r="B3" s="54">
        <f>BS!B5</f>
        <v>99815</v>
      </c>
      <c r="C3" s="54">
        <f>BS!C5</f>
        <v>97834</v>
      </c>
      <c r="D3" s="54">
        <f>BS!D5</f>
        <v>125825</v>
      </c>
      <c r="E3" s="54">
        <f>BS!E5</f>
        <v>163575</v>
      </c>
      <c r="F3" s="54">
        <f>(IS!G8*F22)/365</f>
        <v>177685.14588587012</v>
      </c>
      <c r="G3" s="54">
        <f>(IS!H8*G22)/365</f>
        <v>194961.60467068473</v>
      </c>
      <c r="H3" s="54">
        <f>(IS!I8*H22)/365</f>
        <v>212883.28688936846</v>
      </c>
      <c r="I3" s="54">
        <f>(IS!J8*I22)/365</f>
        <v>232514.93837272975</v>
      </c>
      <c r="J3" s="55">
        <f>(IS!K8*J22)/365</f>
        <v>254024.41391772084</v>
      </c>
    </row>
    <row r="4" spans="1:10" x14ac:dyDescent="0.35">
      <c r="A4" s="56"/>
      <c r="J4" s="60"/>
    </row>
    <row r="5" spans="1:10" x14ac:dyDescent="0.35">
      <c r="A5" s="56" t="str">
        <f>BS!A6</f>
        <v>Unbilled receivables</v>
      </c>
      <c r="B5" s="12">
        <f>BS!B6</f>
        <v>25816</v>
      </c>
      <c r="C5" s="12">
        <f>BS!C6</f>
        <v>29158</v>
      </c>
      <c r="D5" s="12">
        <f>BS!D6</f>
        <v>29965</v>
      </c>
      <c r="E5" s="12">
        <f>BS!E6</f>
        <v>34672</v>
      </c>
      <c r="F5" s="12">
        <f>(IS!G8*F23)/365</f>
        <v>41021.161441125834</v>
      </c>
      <c r="G5" s="12">
        <f>IS!H8*G23/365</f>
        <v>45009.679453757257</v>
      </c>
      <c r="H5" s="12">
        <f>IS!I8*H23/365</f>
        <v>49147.156539553667</v>
      </c>
      <c r="I5" s="12">
        <f>IS!J8*I23/365</f>
        <v>53679.404527081817</v>
      </c>
      <c r="J5" s="58">
        <f>IS!K8*J23/365</f>
        <v>58645.175100902161</v>
      </c>
    </row>
    <row r="6" spans="1:10" x14ac:dyDescent="0.35">
      <c r="A6" s="56"/>
      <c r="J6" s="60"/>
    </row>
    <row r="7" spans="1:10" x14ac:dyDescent="0.35">
      <c r="A7" s="61" t="str">
        <f>BS!A7</f>
        <v>Other current assets</v>
      </c>
      <c r="B7" s="62">
        <f>BS!B7</f>
        <v>56771</v>
      </c>
      <c r="C7" s="62">
        <f>BS!C7</f>
        <v>42784</v>
      </c>
      <c r="D7" s="62">
        <f>BS!D7</f>
        <v>48040</v>
      </c>
      <c r="E7" s="62">
        <f>BS!E7</f>
        <v>52489</v>
      </c>
      <c r="F7" s="62">
        <f>IS!G8*$F$8</f>
        <v>57951.650147852968</v>
      </c>
      <c r="G7" s="62">
        <f>IS!H8*$F$8</f>
        <v>63586.332159676633</v>
      </c>
      <c r="H7" s="62">
        <f>IS!I8*$F$8</f>
        <v>69431.452486534239</v>
      </c>
      <c r="I7" s="62">
        <f>IS!J8*$F$8</f>
        <v>75834.275822814045</v>
      </c>
      <c r="J7" s="63">
        <f>IS!K8*$F$8</f>
        <v>82849.547670286178</v>
      </c>
    </row>
    <row r="8" spans="1:10" s="2" customFormat="1" x14ac:dyDescent="0.35">
      <c r="F8" s="2">
        <f>$E$7/IS!$F$8</f>
        <v>6.966866602336845E-2</v>
      </c>
      <c r="G8" s="2">
        <f>$E$7/IS!$F$8</f>
        <v>6.966866602336845E-2</v>
      </c>
      <c r="H8" s="2">
        <f>$E$7/IS!$F$8</f>
        <v>6.966866602336845E-2</v>
      </c>
      <c r="I8" s="2">
        <f>$E$7/IS!$F$8</f>
        <v>6.966866602336845E-2</v>
      </c>
      <c r="J8" s="2">
        <f>$E$7/IS!$F$8</f>
        <v>6.966866602336845E-2</v>
      </c>
    </row>
    <row r="9" spans="1:10" x14ac:dyDescent="0.35">
      <c r="A9" s="1" t="s">
        <v>164</v>
      </c>
      <c r="B9" s="12">
        <f>B3+B5+B7</f>
        <v>182402</v>
      </c>
      <c r="C9" s="12">
        <f t="shared" ref="C9:J9" si="1">C3+C5+C7</f>
        <v>169776</v>
      </c>
      <c r="D9" s="12">
        <f t="shared" si="1"/>
        <v>203830</v>
      </c>
      <c r="E9" s="12">
        <f t="shared" si="1"/>
        <v>250736</v>
      </c>
      <c r="F9" s="12">
        <f t="shared" si="1"/>
        <v>276657.9574748489</v>
      </c>
      <c r="G9" s="12">
        <f t="shared" si="1"/>
        <v>303557.61628411862</v>
      </c>
      <c r="H9" s="12">
        <f t="shared" si="1"/>
        <v>331461.89591545635</v>
      </c>
      <c r="I9" s="12">
        <f t="shared" si="1"/>
        <v>362028.6187226256</v>
      </c>
      <c r="J9" s="12">
        <f t="shared" si="1"/>
        <v>395519.13668890914</v>
      </c>
    </row>
    <row r="11" spans="1:10" x14ac:dyDescent="0.35">
      <c r="A11" t="s">
        <v>37</v>
      </c>
    </row>
    <row r="12" spans="1:10" x14ac:dyDescent="0.35">
      <c r="A12" s="53" t="str">
        <f>BS!A19</f>
        <v>Accounts payable</v>
      </c>
      <c r="B12" s="54">
        <f>BS!B19</f>
        <v>9683</v>
      </c>
      <c r="C12" s="54">
        <f>BS!C19</f>
        <v>9282</v>
      </c>
      <c r="D12" s="54">
        <f>BS!D19</f>
        <v>12371</v>
      </c>
      <c r="E12" s="54">
        <f>BS!E19</f>
        <v>13910</v>
      </c>
      <c r="F12" s="54">
        <f>IS!F16*F24/365</f>
        <v>16800.172923737518</v>
      </c>
      <c r="G12" s="54">
        <f>IS!G16*G24/365</f>
        <v>17770.547759344277</v>
      </c>
      <c r="H12" s="54">
        <f>IS!H16*H24/365</f>
        <v>18088.223918073556</v>
      </c>
      <c r="I12" s="54">
        <f>IS!I16*I24/365</f>
        <v>19109.3871418118</v>
      </c>
      <c r="J12" s="55">
        <f>IS!J16*J24/365</f>
        <v>20451.166703206381</v>
      </c>
    </row>
    <row r="13" spans="1:10" s="2" customFormat="1" x14ac:dyDescent="0.35">
      <c r="A13" s="42"/>
      <c r="B13" s="2">
        <f>B12/IS!B16</f>
        <v>0.15589078146633609</v>
      </c>
      <c r="C13" s="2">
        <f>C12/IS!C16</f>
        <v>0.11831890782546622</v>
      </c>
      <c r="D13" s="2">
        <f>D12/IS!D16</f>
        <v>0.1309155943108703</v>
      </c>
      <c r="E13" s="2">
        <f>E12/IS!E16</f>
        <v>0.10989358256239286</v>
      </c>
      <c r="F13" s="2">
        <f>AVERAGE($B$13:$E$13)</f>
        <v>0.12875471654126638</v>
      </c>
      <c r="G13" s="2">
        <f t="shared" ref="G13:J13" si="2">AVERAGE($B$13:$E$13)</f>
        <v>0.12875471654126638</v>
      </c>
      <c r="H13" s="2">
        <f t="shared" si="2"/>
        <v>0.12875471654126638</v>
      </c>
      <c r="I13" s="2">
        <f t="shared" si="2"/>
        <v>0.12875471654126638</v>
      </c>
      <c r="J13" s="43">
        <f t="shared" si="2"/>
        <v>0.12875471654126638</v>
      </c>
    </row>
    <row r="14" spans="1:10" x14ac:dyDescent="0.35">
      <c r="A14" s="56" t="s">
        <v>156</v>
      </c>
      <c r="B14" s="12">
        <f>BS!B23</f>
        <v>205021</v>
      </c>
      <c r="C14" s="12">
        <f>BS!C23</f>
        <v>227670</v>
      </c>
      <c r="D14" s="12">
        <f>BS!D23</f>
        <v>236090</v>
      </c>
      <c r="E14" s="12">
        <f>BS!E23</f>
        <v>332142</v>
      </c>
      <c r="F14" s="12">
        <f>IS!G8*F15</f>
        <v>390954.45806806313</v>
      </c>
      <c r="G14" s="12">
        <f>IS!H8*G15</f>
        <v>410713.32501553494</v>
      </c>
      <c r="H14" s="12">
        <f>IS!I8*H15</f>
        <v>448467.80342342722</v>
      </c>
      <c r="I14" s="12">
        <f>IS!J8*I15</f>
        <v>478939.57594718557</v>
      </c>
      <c r="J14" s="58">
        <f>IS!K8*J15</f>
        <v>523245.28451138258</v>
      </c>
    </row>
    <row r="15" spans="1:10" s="2" customFormat="1" x14ac:dyDescent="0.35">
      <c r="A15" s="42"/>
      <c r="B15" s="2">
        <f>B14/IS!B8</f>
        <v>0.46369105507180819</v>
      </c>
      <c r="C15" s="2">
        <f>C14/IS!C8</f>
        <v>0.42850447852772283</v>
      </c>
      <c r="D15" s="2">
        <f>D14/IS!D8</f>
        <v>0.39216761099843361</v>
      </c>
      <c r="E15" s="2">
        <f>E14/IS!E8</f>
        <v>0.47828822977972146</v>
      </c>
      <c r="F15" s="8">
        <v>0.47</v>
      </c>
      <c r="G15" s="8">
        <v>0.45</v>
      </c>
      <c r="H15" s="8">
        <v>0.45</v>
      </c>
      <c r="I15" s="8">
        <v>0.44</v>
      </c>
      <c r="J15" s="69">
        <v>0.44</v>
      </c>
    </row>
    <row r="16" spans="1:10" x14ac:dyDescent="0.35">
      <c r="A16" s="56" t="s">
        <v>162</v>
      </c>
      <c r="B16" s="12">
        <f>BS!B20</f>
        <v>66607</v>
      </c>
      <c r="C16" s="12">
        <f>BS!C20</f>
        <v>59232</v>
      </c>
      <c r="D16" s="12">
        <f>BS!D20</f>
        <v>72058</v>
      </c>
      <c r="E16" s="12">
        <f>BS!E20</f>
        <v>99891</v>
      </c>
      <c r="F16" s="12">
        <f>IS!F21*F17</f>
        <v>94124.178507550867</v>
      </c>
      <c r="G16" s="12">
        <f>IS!G21*G17</f>
        <v>108505.74429909332</v>
      </c>
      <c r="H16" s="12">
        <f>IS!H21*H17</f>
        <v>119055.83845554575</v>
      </c>
      <c r="I16" s="12">
        <f>IS!I21*I17</f>
        <v>129999.94669000198</v>
      </c>
      <c r="J16" s="58">
        <f>IS!J21*J17</f>
        <v>141988.26988608245</v>
      </c>
    </row>
    <row r="17" spans="1:10" s="2" customFormat="1" x14ac:dyDescent="0.35">
      <c r="A17" s="44"/>
      <c r="B17" s="45">
        <f>B16/IS!B21</f>
        <v>0.66531819044479734</v>
      </c>
      <c r="C17" s="45">
        <f>C16/IS!C21</f>
        <v>0.47050599729922948</v>
      </c>
      <c r="D17" s="45">
        <f>D16/IS!D21</f>
        <v>0.51192100028417165</v>
      </c>
      <c r="E17" s="45">
        <f>E16/IS!E21</f>
        <v>0.64001512083856582</v>
      </c>
      <c r="F17" s="45">
        <f>AVERAGE($B$17:$E$17)</f>
        <v>0.57194007721669116</v>
      </c>
      <c r="G17" s="45">
        <f t="shared" ref="G17:J17" si="3">AVERAGE($B$17:$E$17)</f>
        <v>0.57194007721669116</v>
      </c>
      <c r="H17" s="45">
        <f t="shared" si="3"/>
        <v>0.57194007721669116</v>
      </c>
      <c r="I17" s="45">
        <f t="shared" si="3"/>
        <v>0.57194007721669116</v>
      </c>
      <c r="J17" s="46">
        <f t="shared" si="3"/>
        <v>0.57194007721669116</v>
      </c>
    </row>
    <row r="19" spans="1:10" x14ac:dyDescent="0.35">
      <c r="A19" s="1" t="s">
        <v>165</v>
      </c>
      <c r="B19" s="12">
        <f>B12+B14+B16</f>
        <v>281311</v>
      </c>
      <c r="C19" s="12">
        <f t="shared" ref="C19:J19" si="4">C12+C14+C16</f>
        <v>296184</v>
      </c>
      <c r="D19" s="12">
        <f t="shared" si="4"/>
        <v>320519</v>
      </c>
      <c r="E19" s="12">
        <f t="shared" si="4"/>
        <v>445943</v>
      </c>
      <c r="F19" s="12">
        <f t="shared" si="4"/>
        <v>501878.80949935148</v>
      </c>
      <c r="G19" s="12">
        <f t="shared" si="4"/>
        <v>536989.61707397248</v>
      </c>
      <c r="H19" s="12">
        <f t="shared" si="4"/>
        <v>585611.86579704657</v>
      </c>
      <c r="I19" s="12">
        <f t="shared" si="4"/>
        <v>628048.90977899928</v>
      </c>
      <c r="J19" s="12">
        <f t="shared" si="4"/>
        <v>685684.72110067145</v>
      </c>
    </row>
    <row r="22" spans="1:10" x14ac:dyDescent="0.35">
      <c r="A22" s="53" t="s">
        <v>157</v>
      </c>
      <c r="B22" s="70">
        <f>B3/IS!B8*365</f>
        <v>82.398450752007236</v>
      </c>
      <c r="C22" s="70">
        <f>C3/IS!C8*365</f>
        <v>67.209742656400266</v>
      </c>
      <c r="D22" s="70">
        <f>D3/IS!D8*365</f>
        <v>76.287596779471542</v>
      </c>
      <c r="E22" s="70">
        <f>E3/IS!E8*365</f>
        <v>85.975694049441344</v>
      </c>
      <c r="F22" s="70">
        <f>AVERAGE($B$22:$E$22)</f>
        <v>77.967871059330093</v>
      </c>
      <c r="G22" s="70">
        <f t="shared" ref="G22:J22" si="5">AVERAGE($B$22:$E$22)</f>
        <v>77.967871059330093</v>
      </c>
      <c r="H22" s="70">
        <f t="shared" si="5"/>
        <v>77.967871059330093</v>
      </c>
      <c r="I22" s="70">
        <f t="shared" si="5"/>
        <v>77.967871059330093</v>
      </c>
      <c r="J22" s="71">
        <f t="shared" si="5"/>
        <v>77.967871059330093</v>
      </c>
    </row>
    <row r="23" spans="1:10" x14ac:dyDescent="0.35">
      <c r="A23" s="56" t="s">
        <v>163</v>
      </c>
      <c r="B23" s="72">
        <f>B5/IS!B8*365</f>
        <v>21.311410154924801</v>
      </c>
      <c r="C23" s="72">
        <f>C5/IS!C8*365</f>
        <v>20.030885749078227</v>
      </c>
      <c r="D23" s="72">
        <f>D5/IS!D8*365</f>
        <v>18.167755513585256</v>
      </c>
      <c r="E23" s="72">
        <f>E5/IS!E8*365</f>
        <v>18.22374607416922</v>
      </c>
      <c r="F23" s="73">
        <v>18</v>
      </c>
      <c r="G23" s="73">
        <v>18</v>
      </c>
      <c r="H23" s="73">
        <v>18</v>
      </c>
      <c r="I23" s="73">
        <v>18</v>
      </c>
      <c r="J23" s="74">
        <v>18</v>
      </c>
    </row>
    <row r="24" spans="1:10" x14ac:dyDescent="0.35">
      <c r="A24" s="61" t="s">
        <v>158</v>
      </c>
      <c r="B24" s="75">
        <f>B12/IS!B16*365</f>
        <v>56.900135235212673</v>
      </c>
      <c r="C24" s="75">
        <f>C12/IS!C16*365</f>
        <v>43.186401356295171</v>
      </c>
      <c r="D24" s="75">
        <f>D12/IS!D16*365</f>
        <v>47.78419192346766</v>
      </c>
      <c r="E24" s="75">
        <f>E12/IS!E16*365</f>
        <v>40.111157635273393</v>
      </c>
      <c r="F24" s="75">
        <f>AVERAGE($B$24:$E$24)</f>
        <v>46.995471537562224</v>
      </c>
      <c r="G24" s="75">
        <f t="shared" ref="G24:J24" si="6">AVERAGE($B$24:$E$24)</f>
        <v>46.995471537562224</v>
      </c>
      <c r="H24" s="75">
        <f t="shared" si="6"/>
        <v>46.995471537562224</v>
      </c>
      <c r="I24" s="75">
        <f t="shared" si="6"/>
        <v>46.995471537562224</v>
      </c>
      <c r="J24" s="76">
        <f t="shared" si="6"/>
        <v>46.995471537562224</v>
      </c>
    </row>
    <row r="26" spans="1:10" x14ac:dyDescent="0.35">
      <c r="A26" s="1" t="s">
        <v>159</v>
      </c>
      <c r="B26" s="12">
        <f t="shared" ref="B26:J26" si="7">B9-B19</f>
        <v>-98909</v>
      </c>
      <c r="C26" s="12">
        <f t="shared" si="7"/>
        <v>-126408</v>
      </c>
      <c r="D26" s="12">
        <f t="shared" si="7"/>
        <v>-116689</v>
      </c>
      <c r="E26" s="12">
        <f t="shared" si="7"/>
        <v>-195207</v>
      </c>
      <c r="F26" s="12">
        <f t="shared" si="7"/>
        <v>-225220.85202450259</v>
      </c>
      <c r="G26" s="12">
        <f t="shared" si="7"/>
        <v>-233432.00078985386</v>
      </c>
      <c r="H26" s="12">
        <f t="shared" si="7"/>
        <v>-254149.96988159022</v>
      </c>
      <c r="I26" s="12">
        <f t="shared" si="7"/>
        <v>-266020.29105637368</v>
      </c>
      <c r="J26" s="12">
        <f t="shared" si="7"/>
        <v>-290165.58441176231</v>
      </c>
    </row>
    <row r="27" spans="1:10" x14ac:dyDescent="0.35">
      <c r="A27" s="1" t="s">
        <v>166</v>
      </c>
      <c r="C27" s="12">
        <f>C26-B26</f>
        <v>-27499</v>
      </c>
      <c r="D27" s="12">
        <f t="shared" ref="D27:J27" si="8">D26-C26</f>
        <v>9719</v>
      </c>
      <c r="E27" s="12">
        <f t="shared" si="8"/>
        <v>-78518</v>
      </c>
      <c r="F27" s="12">
        <f t="shared" si="8"/>
        <v>-30013.852024502587</v>
      </c>
      <c r="G27" s="12">
        <f t="shared" si="8"/>
        <v>-8211.1487653512741</v>
      </c>
      <c r="H27" s="12">
        <f t="shared" si="8"/>
        <v>-20717.969091736362</v>
      </c>
      <c r="I27" s="12">
        <f t="shared" si="8"/>
        <v>-11870.321174783458</v>
      </c>
      <c r="J27" s="12">
        <f t="shared" si="8"/>
        <v>-24145.293355388625</v>
      </c>
    </row>
    <row r="29" spans="1:10" x14ac:dyDescent="0.35">
      <c r="A29" t="s">
        <v>167</v>
      </c>
    </row>
    <row r="30" spans="1:10" x14ac:dyDescent="0.35">
      <c r="A30" s="53" t="s">
        <v>168</v>
      </c>
      <c r="B30" s="54">
        <f>BS!B15</f>
        <v>8915</v>
      </c>
      <c r="C30" s="54">
        <f>BS!C15</f>
        <v>12832</v>
      </c>
      <c r="D30" s="54">
        <f>BS!D15</f>
        <v>8255</v>
      </c>
      <c r="E30" s="54">
        <f>BS!E15</f>
        <v>12693</v>
      </c>
      <c r="F30" s="54">
        <f>IS!G8*NWC!F31</f>
        <v>13897.403070241424</v>
      </c>
      <c r="G30" s="54">
        <f>IS!H8*NWC!G31</f>
        <v>15248.657898898851</v>
      </c>
      <c r="H30" s="54">
        <f>IS!I8*NWC!H31</f>
        <v>16650.37800469658</v>
      </c>
      <c r="I30" s="54">
        <f>IS!J8*NWC!I31</f>
        <v>18185.84104094845</v>
      </c>
      <c r="J30" s="55">
        <f>IS!K8*NWC!J31</f>
        <v>19868.17554329479</v>
      </c>
    </row>
    <row r="31" spans="1:10" s="2" customFormat="1" x14ac:dyDescent="0.35">
      <c r="A31" s="42" t="s">
        <v>169</v>
      </c>
      <c r="B31" s="2">
        <f>B30/IS!C8</f>
        <v>1.6779186656452977E-2</v>
      </c>
      <c r="C31" s="2">
        <f>C30/IS!D8</f>
        <v>2.131515432390995E-2</v>
      </c>
      <c r="D31" s="2">
        <f>D30/IS!E8</f>
        <v>1.188729319637866E-2</v>
      </c>
      <c r="E31" s="2">
        <f>E30/IS!F8</f>
        <v>1.6847422847351173E-2</v>
      </c>
      <c r="F31" s="2">
        <f>AVERAGE($B$31:$E$31)</f>
        <v>1.6707264256023192E-2</v>
      </c>
      <c r="G31" s="2">
        <f t="shared" ref="G31:J31" si="9">AVERAGE($B$31:$E$31)</f>
        <v>1.6707264256023192E-2</v>
      </c>
      <c r="H31" s="2">
        <f t="shared" si="9"/>
        <v>1.6707264256023192E-2</v>
      </c>
      <c r="I31" s="2">
        <f t="shared" si="9"/>
        <v>1.6707264256023192E-2</v>
      </c>
      <c r="J31" s="43">
        <f t="shared" si="9"/>
        <v>1.6707264256023192E-2</v>
      </c>
    </row>
    <row r="32" spans="1:10" x14ac:dyDescent="0.35">
      <c r="A32" s="61" t="s">
        <v>183</v>
      </c>
      <c r="B32" s="62"/>
      <c r="C32" s="62">
        <f>B30-C30</f>
        <v>-3917</v>
      </c>
      <c r="D32" s="62">
        <f t="shared" ref="D32:J32" si="10">C30-D30</f>
        <v>4577</v>
      </c>
      <c r="E32" s="62">
        <f t="shared" si="10"/>
        <v>-4438</v>
      </c>
      <c r="F32" s="62">
        <f t="shared" si="10"/>
        <v>-1204.4030702414238</v>
      </c>
      <c r="G32" s="62">
        <f t="shared" si="10"/>
        <v>-1351.2548286574274</v>
      </c>
      <c r="H32" s="62">
        <f t="shared" si="10"/>
        <v>-1401.720105797729</v>
      </c>
      <c r="I32" s="62">
        <f t="shared" si="10"/>
        <v>-1535.4630362518692</v>
      </c>
      <c r="J32" s="63">
        <f t="shared" si="10"/>
        <v>-1682.3345023463407</v>
      </c>
    </row>
  </sheetData>
  <mergeCells count="2">
    <mergeCell ref="B1:E1"/>
    <mergeCell ref="F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711A-2019-4BEE-BE25-CF5C6F2773B1}">
  <dimension ref="A2:L23"/>
  <sheetViews>
    <sheetView showGridLines="0" zoomScale="61" workbookViewId="0">
      <selection activeCell="G39" sqref="G38:G39"/>
    </sheetView>
  </sheetViews>
  <sheetFormatPr defaultRowHeight="14.5" x14ac:dyDescent="0.35"/>
  <cols>
    <col min="1" max="1" width="3.26953125" customWidth="1"/>
    <col min="2" max="2" width="16.7265625" bestFit="1" customWidth="1"/>
    <col min="4" max="4" width="17.1796875" bestFit="1" customWidth="1"/>
    <col min="5" max="5" width="16.26953125" bestFit="1" customWidth="1"/>
    <col min="6" max="6" width="17.1796875" bestFit="1" customWidth="1"/>
    <col min="7" max="7" width="17" bestFit="1" customWidth="1"/>
    <col min="8" max="9" width="16.453125" bestFit="1" customWidth="1"/>
    <col min="10" max="12" width="14.81640625" bestFit="1" customWidth="1"/>
  </cols>
  <sheetData>
    <row r="2" spans="1:12" x14ac:dyDescent="0.35">
      <c r="A2" s="2"/>
      <c r="B2" s="52" t="s">
        <v>93</v>
      </c>
      <c r="C2" s="52">
        <v>2020</v>
      </c>
      <c r="D2" s="52">
        <v>2021</v>
      </c>
      <c r="E2" s="52">
        <f>D2+1</f>
        <v>2022</v>
      </c>
      <c r="F2" s="52">
        <f>E2+1</f>
        <v>2023</v>
      </c>
      <c r="G2" s="52">
        <v>2024</v>
      </c>
      <c r="H2" s="5">
        <f>G2+1</f>
        <v>2025</v>
      </c>
      <c r="I2" s="5">
        <f t="shared" ref="I2:L2" si="0">H2+1</f>
        <v>2026</v>
      </c>
      <c r="J2" s="5">
        <f t="shared" si="0"/>
        <v>2027</v>
      </c>
      <c r="K2" s="5">
        <f t="shared" si="0"/>
        <v>2028</v>
      </c>
      <c r="L2" s="5">
        <f t="shared" si="0"/>
        <v>2029</v>
      </c>
    </row>
    <row r="3" spans="1:12" x14ac:dyDescent="0.35">
      <c r="A3" s="2"/>
      <c r="B3" t="s">
        <v>133</v>
      </c>
      <c r="C3" s="77"/>
      <c r="D3" s="54">
        <f>C6</f>
        <v>14345</v>
      </c>
      <c r="E3" s="54">
        <f t="shared" ref="E3:G3" si="1">D6</f>
        <v>14927</v>
      </c>
      <c r="F3" s="54">
        <f t="shared" si="1"/>
        <v>15225</v>
      </c>
      <c r="G3" s="54">
        <f t="shared" si="1"/>
        <v>13746</v>
      </c>
      <c r="H3" s="54">
        <f t="shared" ref="H3:L3" si="2">G6</f>
        <v>12526</v>
      </c>
      <c r="I3" s="54">
        <f t="shared" si="2"/>
        <v>11978.985412663133</v>
      </c>
      <c r="J3" s="54">
        <f t="shared" si="2"/>
        <v>11455.859134344257</v>
      </c>
      <c r="K3" s="54">
        <f t="shared" si="2"/>
        <v>10955.577954641032</v>
      </c>
      <c r="L3" s="55">
        <f t="shared" si="2"/>
        <v>10477.144220496466</v>
      </c>
    </row>
    <row r="4" spans="1:12" x14ac:dyDescent="0.35">
      <c r="A4" s="2"/>
      <c r="B4" t="s">
        <v>95</v>
      </c>
      <c r="C4" s="78"/>
      <c r="D4" s="12">
        <f>-CFS!C20</f>
        <v>4654</v>
      </c>
      <c r="E4" s="12">
        <f>-CFS!D20</f>
        <v>6090</v>
      </c>
      <c r="F4" s="12">
        <f>-CFS!E20</f>
        <v>5570</v>
      </c>
      <c r="G4" s="12">
        <f>-CFS!F20</f>
        <v>5206</v>
      </c>
      <c r="H4" s="12">
        <f>H5*H10</f>
        <v>4186.359352802855</v>
      </c>
      <c r="I4" s="12">
        <f t="shared" ref="I4:L4" si="3">I5*I10</f>
        <v>4003.5396470853643</v>
      </c>
      <c r="J4" s="12">
        <f t="shared" si="3"/>
        <v>3828.703738739749</v>
      </c>
      <c r="K4" s="12">
        <f t="shared" si="3"/>
        <v>3661.5029726786088</v>
      </c>
      <c r="L4" s="58">
        <f t="shared" si="3"/>
        <v>3501.6039196982083</v>
      </c>
    </row>
    <row r="5" spans="1:12" x14ac:dyDescent="0.35">
      <c r="A5" s="2"/>
      <c r="B5" t="s">
        <v>1</v>
      </c>
      <c r="C5" s="78"/>
      <c r="D5" s="12">
        <f>CFS!C5</f>
        <v>5477</v>
      </c>
      <c r="E5" s="12">
        <f>CFS!D5</f>
        <v>5002</v>
      </c>
      <c r="F5" s="12">
        <f>CFS!E5</f>
        <v>6345</v>
      </c>
      <c r="G5" s="12">
        <f>CFS!F5</f>
        <v>6426</v>
      </c>
      <c r="H5" s="12">
        <f>H3*H11</f>
        <v>4733.3739401397206</v>
      </c>
      <c r="I5" s="12">
        <f>I3*I11</f>
        <v>4526.6659254042415</v>
      </c>
      <c r="J5" s="12">
        <f>J3*J11</f>
        <v>4328.9849184429731</v>
      </c>
      <c r="K5" s="12">
        <f>K3*K11</f>
        <v>4139.9367068231741</v>
      </c>
      <c r="L5" s="58">
        <f>L3*L11</f>
        <v>3959.144293500196</v>
      </c>
    </row>
    <row r="6" spans="1:12" x14ac:dyDescent="0.35">
      <c r="A6" s="2"/>
      <c r="B6" t="s">
        <v>96</v>
      </c>
      <c r="C6" s="79">
        <f>BS!B10</f>
        <v>14345</v>
      </c>
      <c r="D6" s="62">
        <f>BS!C10</f>
        <v>14927</v>
      </c>
      <c r="E6" s="62">
        <f>BS!D10</f>
        <v>15225</v>
      </c>
      <c r="F6" s="62">
        <f>BS!E10</f>
        <v>13746</v>
      </c>
      <c r="G6" s="62">
        <f>G3+G4-G5</f>
        <v>12526</v>
      </c>
      <c r="H6" s="62">
        <f t="shared" ref="H6:K6" si="4">H3+H4-H5</f>
        <v>11978.985412663133</v>
      </c>
      <c r="I6" s="62">
        <f t="shared" si="4"/>
        <v>11455.859134344257</v>
      </c>
      <c r="J6" s="62">
        <f t="shared" si="4"/>
        <v>10955.577954641032</v>
      </c>
      <c r="K6" s="62">
        <f t="shared" si="4"/>
        <v>10477.144220496466</v>
      </c>
      <c r="L6" s="63">
        <f t="shared" ref="L6" si="5">L3+L4-L5</f>
        <v>10019.603846694479</v>
      </c>
    </row>
    <row r="7" spans="1:12" x14ac:dyDescent="0.35">
      <c r="A7" s="2"/>
    </row>
    <row r="8" spans="1:12" x14ac:dyDescent="0.35">
      <c r="A8" s="2"/>
    </row>
    <row r="9" spans="1:12" x14ac:dyDescent="0.35">
      <c r="A9" s="2"/>
      <c r="B9" t="s">
        <v>171</v>
      </c>
      <c r="D9" s="2">
        <f>D4/IS!C8</f>
        <v>8.7594318226732644E-3</v>
      </c>
      <c r="E9" s="2">
        <f>E4/IS!D8</f>
        <v>1.0116060616631202E-2</v>
      </c>
      <c r="F9" s="2">
        <f>F4/IS!E8</f>
        <v>8.0208628835650077E-3</v>
      </c>
      <c r="G9" s="2">
        <f>G4/IS!F8</f>
        <v>6.9099254189955257E-3</v>
      </c>
      <c r="H9" s="2">
        <f t="shared" ref="H9:L9" si="6">AVERAGE($D$9:$F$9)</f>
        <v>8.965451774289826E-3</v>
      </c>
      <c r="I9" s="2">
        <f t="shared" si="6"/>
        <v>8.965451774289826E-3</v>
      </c>
      <c r="J9" s="2">
        <f t="shared" si="6"/>
        <v>8.965451774289826E-3</v>
      </c>
      <c r="K9" s="2">
        <f t="shared" si="6"/>
        <v>8.965451774289826E-3</v>
      </c>
      <c r="L9" s="2">
        <f t="shared" si="6"/>
        <v>8.965451774289826E-3</v>
      </c>
    </row>
    <row r="10" spans="1:12" x14ac:dyDescent="0.35">
      <c r="A10" s="2"/>
      <c r="B10" t="s">
        <v>173</v>
      </c>
      <c r="D10" s="2">
        <f>MIN(D4, D5)/D5</f>
        <v>0.84973525652729598</v>
      </c>
      <c r="E10" s="2">
        <f t="shared" ref="E10:G10" si="7">MIN(E4, E5)/E5</f>
        <v>1</v>
      </c>
      <c r="F10" s="2">
        <f t="shared" si="7"/>
        <v>0.8778565799842396</v>
      </c>
      <c r="G10" s="2">
        <f t="shared" si="7"/>
        <v>0.810146280734516</v>
      </c>
      <c r="H10" s="2">
        <f>AVERAGE($D$10:$G$10)</f>
        <v>0.8844345293115129</v>
      </c>
      <c r="I10" s="2">
        <f t="shared" ref="I10:L10" si="8">AVERAGE($D$10:$G$10)</f>
        <v>0.8844345293115129</v>
      </c>
      <c r="J10" s="2">
        <f t="shared" si="8"/>
        <v>0.8844345293115129</v>
      </c>
      <c r="K10" s="2">
        <f t="shared" si="8"/>
        <v>0.8844345293115129</v>
      </c>
      <c r="L10" s="2">
        <f t="shared" si="8"/>
        <v>0.8844345293115129</v>
      </c>
    </row>
    <row r="11" spans="1:12" x14ac:dyDescent="0.35">
      <c r="A11" s="2"/>
      <c r="B11" t="s">
        <v>101</v>
      </c>
      <c r="D11" s="2">
        <f>D5/D3</f>
        <v>0.38180550714534683</v>
      </c>
      <c r="E11" s="2">
        <f>E5/E3</f>
        <v>0.33509747437529308</v>
      </c>
      <c r="F11" s="2">
        <f>F5/F3</f>
        <v>0.41674876847290643</v>
      </c>
      <c r="G11" s="2">
        <f>AVERAGE($D$11:$F$11)</f>
        <v>0.37788391666451543</v>
      </c>
      <c r="H11" s="2">
        <f t="shared" ref="H11:L11" si="9">AVERAGE($D$11:$F$11)</f>
        <v>0.37788391666451543</v>
      </c>
      <c r="I11" s="2">
        <f t="shared" si="9"/>
        <v>0.37788391666451543</v>
      </c>
      <c r="J11" s="2">
        <f t="shared" si="9"/>
        <v>0.37788391666451543</v>
      </c>
      <c r="K11" s="2">
        <f t="shared" si="9"/>
        <v>0.37788391666451543</v>
      </c>
      <c r="L11" s="2">
        <f t="shared" si="9"/>
        <v>0.37788391666451543</v>
      </c>
    </row>
    <row r="12" spans="1:12" x14ac:dyDescent="0.35">
      <c r="A12" s="2"/>
    </row>
    <row r="13" spans="1:12" x14ac:dyDescent="0.35">
      <c r="A13" s="2"/>
    </row>
    <row r="14" spans="1:12" x14ac:dyDescent="0.35">
      <c r="A14" s="2"/>
      <c r="B14" s="52" t="s">
        <v>94</v>
      </c>
    </row>
    <row r="15" spans="1:12" s="12" customFormat="1" x14ac:dyDescent="0.35">
      <c r="B15" s="12" t="s">
        <v>133</v>
      </c>
      <c r="C15" s="77"/>
      <c r="D15" s="54">
        <f>C18</f>
        <v>287185</v>
      </c>
      <c r="E15" s="54">
        <f t="shared" ref="E15:F15" si="10">D18</f>
        <v>217355</v>
      </c>
      <c r="F15" s="54">
        <f t="shared" si="10"/>
        <v>354278</v>
      </c>
      <c r="G15" s="54">
        <f t="shared" ref="G15" si="11">F18</f>
        <v>723571</v>
      </c>
      <c r="H15" s="54">
        <f ca="1">G18</f>
        <v>1479655</v>
      </c>
      <c r="I15" s="54">
        <f t="shared" ref="I15:L15" ca="1" si="12">H18</f>
        <v>1422109.0147944747</v>
      </c>
      <c r="J15" s="54">
        <f t="shared" ca="1" si="12"/>
        <v>1372462.52469386</v>
      </c>
      <c r="K15" s="54">
        <f t="shared" ca="1" si="12"/>
        <v>1330337.2914753079</v>
      </c>
      <c r="L15" s="55">
        <f t="shared" ca="1" si="12"/>
        <v>1295629.6447586424</v>
      </c>
    </row>
    <row r="16" spans="1:12" s="12" customFormat="1" x14ac:dyDescent="0.35">
      <c r="B16" s="12" t="s">
        <v>95</v>
      </c>
      <c r="C16" s="78"/>
      <c r="D16" s="12">
        <f>(D18-D15)+D17</f>
        <v>-22323</v>
      </c>
      <c r="E16" s="12">
        <f t="shared" ref="E16:G16" si="13">(E18-E15)+E17</f>
        <v>206653</v>
      </c>
      <c r="F16" s="12">
        <f t="shared" si="13"/>
        <v>466095</v>
      </c>
      <c r="G16" s="12">
        <f t="shared" ca="1" si="13"/>
        <v>852702</v>
      </c>
      <c r="H16" s="12">
        <f>IS!G8*H20</f>
        <v>41590.899794474804</v>
      </c>
      <c r="I16" s="12">
        <f>IS!H8*I20</f>
        <v>45634.813890614998</v>
      </c>
      <c r="J16" s="12">
        <f>IS!I8*J20</f>
        <v>49829.755935936359</v>
      </c>
      <c r="K16" s="12">
        <f>IS!J8*K20</f>
        <v>54424.951812180181</v>
      </c>
      <c r="L16" s="58">
        <f>IS!K8*L20</f>
        <v>59459.691421748023</v>
      </c>
    </row>
    <row r="17" spans="1:12" s="12" customFormat="1" x14ac:dyDescent="0.35">
      <c r="B17" s="12" t="s">
        <v>97</v>
      </c>
      <c r="C17" s="78"/>
      <c r="D17" s="12">
        <f>CFS!C7</f>
        <v>47507</v>
      </c>
      <c r="E17" s="12">
        <f>CFS!D7</f>
        <v>69730</v>
      </c>
      <c r="F17" s="12">
        <f>CFS!E7</f>
        <v>96802</v>
      </c>
      <c r="G17" s="12">
        <f>CFS!F7</f>
        <v>96618</v>
      </c>
      <c r="H17" s="12">
        <f ca="1">H15*H22</f>
        <v>99136.885000000009</v>
      </c>
      <c r="I17" s="12">
        <f ca="1">I15*I22</f>
        <v>95281.303991229812</v>
      </c>
      <c r="J17" s="12">
        <f ca="1">J15*J22</f>
        <v>91954.98915448862</v>
      </c>
      <c r="K17" s="12">
        <f ca="1">K15*K22</f>
        <v>89132.598528845629</v>
      </c>
      <c r="L17" s="58">
        <f ca="1">L15*L22</f>
        <v>86807.186198829047</v>
      </c>
    </row>
    <row r="18" spans="1:12" s="12" customFormat="1" x14ac:dyDescent="0.35">
      <c r="B18" s="12" t="s">
        <v>96</v>
      </c>
      <c r="C18" s="79">
        <f>BS!B11</f>
        <v>287185</v>
      </c>
      <c r="D18" s="62">
        <f>BS!C11</f>
        <v>217355</v>
      </c>
      <c r="E18" s="62">
        <f>BS!D11</f>
        <v>354278</v>
      </c>
      <c r="F18" s="62">
        <f>BS!E11</f>
        <v>723571</v>
      </c>
      <c r="G18" s="62">
        <f ca="1">G15+G16-G17</f>
        <v>1479655</v>
      </c>
      <c r="H18" s="62">
        <f ca="1">H15+H16-H17</f>
        <v>1422109.0147944747</v>
      </c>
      <c r="I18" s="62">
        <f t="shared" ref="I18:L18" ca="1" si="14">I15+I16-I17</f>
        <v>1372462.52469386</v>
      </c>
      <c r="J18" s="62">
        <f t="shared" ca="1" si="14"/>
        <v>1330337.2914753079</v>
      </c>
      <c r="K18" s="62">
        <f t="shared" ca="1" si="14"/>
        <v>1295629.6447586424</v>
      </c>
      <c r="L18" s="63">
        <f t="shared" ca="1" si="14"/>
        <v>1268282.1499815613</v>
      </c>
    </row>
    <row r="19" spans="1:12" x14ac:dyDescent="0.35">
      <c r="A19" s="2"/>
    </row>
    <row r="20" spans="1:12" x14ac:dyDescent="0.35">
      <c r="A20" s="2"/>
      <c r="B20" t="s">
        <v>171</v>
      </c>
      <c r="D20" s="2">
        <f>D16/IS!C8</f>
        <v>-4.2014782246999414E-2</v>
      </c>
      <c r="E20" s="2">
        <f>E16/IS!D8</f>
        <v>0.34326999583065482</v>
      </c>
      <c r="F20" s="2">
        <f>F16/IS!E8</f>
        <v>0.67118206206736664</v>
      </c>
      <c r="G20" s="2">
        <f ca="1">G16/IS!F8</f>
        <v>1.1317916297787789</v>
      </c>
      <c r="H20" s="8">
        <v>0.05</v>
      </c>
      <c r="I20" s="8">
        <v>0.05</v>
      </c>
      <c r="J20" s="8">
        <v>0.05</v>
      </c>
      <c r="K20" s="8">
        <v>0.05</v>
      </c>
      <c r="L20" s="8">
        <v>0.05</v>
      </c>
    </row>
    <row r="21" spans="1:12" x14ac:dyDescent="0.35">
      <c r="A21" s="2"/>
      <c r="B21" t="s">
        <v>172</v>
      </c>
      <c r="D21" s="2">
        <f>MAX(0, D16-D17)/IS!C8</f>
        <v>0</v>
      </c>
      <c r="E21" s="2">
        <f>MAX(0, E16-E17)/IS!D8</f>
        <v>0.22744193231707621</v>
      </c>
      <c r="F21" s="2">
        <f>MAX(0, F16-F17)/IS!E8</f>
        <v>0.53178608920293935</v>
      </c>
      <c r="G21" s="2">
        <f ca="1">MAX(0, G16-G17)/IS!F8</f>
        <v>1.0035505283318888</v>
      </c>
      <c r="H21" s="2"/>
      <c r="I21" s="2"/>
      <c r="J21" s="2"/>
      <c r="K21" s="2"/>
      <c r="L21" s="2"/>
    </row>
    <row r="22" spans="1:12" x14ac:dyDescent="0.35">
      <c r="A22" s="2"/>
      <c r="B22" t="s">
        <v>101</v>
      </c>
      <c r="D22" s="2">
        <f>D17/D15</f>
        <v>0.16542298518376655</v>
      </c>
      <c r="E22" s="2">
        <f t="shared" ref="E22:G22" si="15">E17/E15</f>
        <v>0.32081157553311401</v>
      </c>
      <c r="F22" s="2">
        <f t="shared" si="15"/>
        <v>0.27323740113696027</v>
      </c>
      <c r="G22" s="2">
        <f t="shared" si="15"/>
        <v>0.13352939794436205</v>
      </c>
      <c r="H22" s="8">
        <v>6.7000000000000004E-2</v>
      </c>
      <c r="I22" s="8">
        <v>6.7000000000000004E-2</v>
      </c>
      <c r="J22" s="8">
        <v>6.7000000000000004E-2</v>
      </c>
      <c r="K22" s="8">
        <v>6.7000000000000004E-2</v>
      </c>
      <c r="L22" s="8">
        <v>6.7000000000000004E-2</v>
      </c>
    </row>
    <row r="23" spans="1:12" x14ac:dyDescent="0.35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LBO</vt:lpstr>
      <vt:lpstr>Debt Schedule</vt:lpstr>
      <vt:lpstr>IS</vt:lpstr>
      <vt:lpstr>BS</vt:lpstr>
      <vt:lpstr>CFS</vt:lpstr>
      <vt:lpstr>NWC</vt:lpstr>
      <vt:lpstr>Fixed asset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Plotnikov</dc:creator>
  <cp:lastModifiedBy>Andrii Plotnikov</cp:lastModifiedBy>
  <dcterms:created xsi:type="dcterms:W3CDTF">2026-06-03T09:11:47Z</dcterms:created>
  <dcterms:modified xsi:type="dcterms:W3CDTF">2026-07-17T16:31:56Z</dcterms:modified>
</cp:coreProperties>
</file>